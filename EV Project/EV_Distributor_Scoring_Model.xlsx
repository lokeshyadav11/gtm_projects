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stributor Data" sheetId="1" state="visible" r:id="rId3"/>
    <sheet name="Strategy Confi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<sst xmlns="http://schemas.openxmlformats.org/spreadsheetml/2006/main" count="140" uniqueCount="124">
  <si>
    <t xml:space="preserve">ID</t>
  </si>
  <si>
    <t xml:space="preserve">Distributor Name</t>
  </si>
  <si>
    <t xml:space="preserve">City</t>
  </si>
  <si>
    <t xml:space="preserve">State</t>
  </si>
  <si>
    <t xml:space="preserve">Monthly
Capacity (units)</t>
  </si>
  <si>
    <t xml:space="preserve">Customer
Rating (1-5)</t>
  </si>
  <si>
    <t xml:space="preserve">Gross
Margin (%)</t>
  </si>
  <si>
    <t xml:space="preserve">Years
Active</t>
  </si>
  <si>
    <t xml:space="preserve">EV Focus
(%)</t>
  </si>
  <si>
    <t xml:space="preserve">Service
Network (cities)</t>
  </si>
  <si>
    <t xml:space="preserve">Financial
Stability (1-5)</t>
  </si>
  <si>
    <t xml:space="preserve">AutoEdge Solutions</t>
  </si>
  <si>
    <t xml:space="preserve">Delhi</t>
  </si>
  <si>
    <t xml:space="preserve">Green Mobility Hub</t>
  </si>
  <si>
    <t xml:space="preserve">Bangalore</t>
  </si>
  <si>
    <t xml:space="preserve">Karnataka</t>
  </si>
  <si>
    <t xml:space="preserve">TechDrive Motors</t>
  </si>
  <si>
    <t xml:space="preserve">Mumbai</t>
  </si>
  <si>
    <t xml:space="preserve">Maharashtra</t>
  </si>
  <si>
    <t xml:space="preserve">EcoWheels India</t>
  </si>
  <si>
    <t xml:space="preserve">Pune</t>
  </si>
  <si>
    <t xml:space="preserve">Sunrise Auto</t>
  </si>
  <si>
    <t xml:space="preserve">Chennai</t>
  </si>
  <si>
    <t xml:space="preserve">Tamil Nadu</t>
  </si>
  <si>
    <t xml:space="preserve">Velocity Distributors</t>
  </si>
  <si>
    <t xml:space="preserve">Hyderabad</t>
  </si>
  <si>
    <t xml:space="preserve">Telangana</t>
  </si>
  <si>
    <t xml:space="preserve">Pioneer EV Hub</t>
  </si>
  <si>
    <t xml:space="preserve">Ahmedabad</t>
  </si>
  <si>
    <t xml:space="preserve">Gujarat</t>
  </si>
  <si>
    <t xml:space="preserve">NextGen Motors</t>
  </si>
  <si>
    <t xml:space="preserve">Kolkata</t>
  </si>
  <si>
    <t xml:space="preserve">West Bengal</t>
  </si>
  <si>
    <t xml:space="preserve">RajAuto Network</t>
  </si>
  <si>
    <t xml:space="preserve">Jaipur</t>
  </si>
  <si>
    <t xml:space="preserve">Rajasthan</t>
  </si>
  <si>
    <t xml:space="preserve">North Star Vehicles</t>
  </si>
  <si>
    <t xml:space="preserve">Chandigarh</t>
  </si>
  <si>
    <t xml:space="preserve">Punjab</t>
  </si>
  <si>
    <t xml:space="preserve">Coimbatore Mobility</t>
  </si>
  <si>
    <t xml:space="preserve">Coimbatore</t>
  </si>
  <si>
    <t xml:space="preserve">Lucknow Auto Hub</t>
  </si>
  <si>
    <t xml:space="preserve">Lucknow</t>
  </si>
  <si>
    <t xml:space="preserve">Uttar Pradesh</t>
  </si>
  <si>
    <t xml:space="preserve">Nagpur Drive Centre</t>
  </si>
  <si>
    <t xml:space="preserve">Nagpur</t>
  </si>
  <si>
    <t xml:space="preserve">Surat EV Solutions</t>
  </si>
  <si>
    <t xml:space="preserve">Surat</t>
  </si>
  <si>
    <t xml:space="preserve">Kochi Green Motors</t>
  </si>
  <si>
    <t xml:space="preserve">Kochi</t>
  </si>
  <si>
    <t xml:space="preserve">Kerala</t>
  </si>
  <si>
    <t xml:space="preserve">Indore Mobility Hub</t>
  </si>
  <si>
    <t xml:space="preserve">Indore</t>
  </si>
  <si>
    <t xml:space="preserve">Madhya Pradesh</t>
  </si>
  <si>
    <t xml:space="preserve">Bhopal Auto World</t>
  </si>
  <si>
    <t xml:space="preserve">Bhopal</t>
  </si>
  <si>
    <t xml:space="preserve">Visakha EV Center</t>
  </si>
  <si>
    <t xml:space="preserve">Visakhapatnam</t>
  </si>
  <si>
    <t xml:space="preserve">Andhra Pradesh</t>
  </si>
  <si>
    <t xml:space="preserve">Vadodara Vehicles</t>
  </si>
  <si>
    <t xml:space="preserve">Vadodara</t>
  </si>
  <si>
    <t xml:space="preserve">Mysore Mobility</t>
  </si>
  <si>
    <t xml:space="preserve">Mysore</t>
  </si>
  <si>
    <t xml:space="preserve">Patna Auto Network</t>
  </si>
  <si>
    <t xml:space="preserve">Patna</t>
  </si>
  <si>
    <t xml:space="preserve">Bihar</t>
  </si>
  <si>
    <t xml:space="preserve">Bhubaneswar Motors</t>
  </si>
  <si>
    <t xml:space="preserve">Bhubaneswar</t>
  </si>
  <si>
    <t xml:space="preserve">Odisha</t>
  </si>
  <si>
    <t xml:space="preserve">Dehradun EV Hub</t>
  </si>
  <si>
    <t xml:space="preserve">Dehradun</t>
  </si>
  <si>
    <t xml:space="preserve">Uttarakhand</t>
  </si>
  <si>
    <t xml:space="preserve">Guwahati Mobility</t>
  </si>
  <si>
    <t xml:space="preserve">Guwahati</t>
  </si>
  <si>
    <t xml:space="preserve">Assam</t>
  </si>
  <si>
    <t xml:space="preserve">Thiruvananthapuram Auto</t>
  </si>
  <si>
    <t xml:space="preserve">Thiruvananthapuram</t>
  </si>
  <si>
    <t xml:space="preserve">INSTRUCTIONS:  Add or edit distributor rows 2-26. Paste new CSV data here. All Dashboard scores &amp; rankings update automatically.</t>
  </si>
  <si>
    <t xml:space="preserve">EV Distributor Engine — Strategy Configuration</t>
  </si>
  <si>
    <t xml:space="preserve">  STEP 1 — SELECT STRATEGY</t>
  </si>
  <si>
    <t xml:space="preserve">Active Strategy:</t>
  </si>
  <si>
    <t xml:space="preserve">Balanced</t>
  </si>
  <si>
    <t xml:space="preserve">  ← Click to choose from dropdown</t>
  </si>
  <si>
    <t xml:space="preserve">  STEP 2 — SET CRITERION WEIGHTS  (must total 100)   |   Blue cells are yours to edit</t>
  </si>
  <si>
    <t xml:space="preserve">Criterion</t>
  </si>
  <si>
    <t xml:space="preserve">Growth-
Focused</t>
  </si>
  <si>
    <t xml:space="preserve">Cost-
Optimized</t>
  </si>
  <si>
    <t xml:space="preserve">Quality-
First</t>
  </si>
  <si>
    <t xml:space="preserve">YOUR WEIGHT →</t>
  </si>
  <si>
    <t xml:space="preserve">Monthly Capacity</t>
  </si>
  <si>
    <t xml:space="preserve">Customer Rating</t>
  </si>
  <si>
    <t xml:space="preserve">Gross Margin</t>
  </si>
  <si>
    <t xml:space="preserve">Years Active</t>
  </si>
  <si>
    <t xml:space="preserve">EV Focus %</t>
  </si>
  <si>
    <t xml:space="preserve">Service Network</t>
  </si>
  <si>
    <t xml:space="preserve">Financial Stability</t>
  </si>
  <si>
    <t xml:space="preserve">TOTAL</t>
  </si>
  <si>
    <t xml:space="preserve">  Weights must total exactly 100. Cell turns GREEN when correct, RED if not.</t>
  </si>
  <si>
    <t xml:space="preserve">  STEP 3 — SET MINIMUM FILTERS  (distributors below these thresholds are marked FAIL)</t>
  </si>
  <si>
    <t xml:space="preserve">Min Monthly Capacity (units)</t>
  </si>
  <si>
    <t xml:space="preserve">← Edit this value</t>
  </si>
  <si>
    <t xml:space="preserve">Min Customer Rating (1–5)</t>
  </si>
  <si>
    <t xml:space="preserve">Min EV Focus (%)</t>
  </si>
  <si>
    <t xml:space="preserve">All yellow cells are user inputs. Changes here instantly update rankings &amp; charts on the Dashboard.</t>
  </si>
  <si>
    <t xml:space="preserve">EV DISTRIBUTOR SCORING DASHBOARD</t>
  </si>
  <si>
    <t xml:space="preserve">Edit distributor data or strategy weights — scores, rankings and chart update automatically</t>
  </si>
  <si>
    <t xml:space="preserve">  LIVE SUMMARY</t>
  </si>
  <si>
    <t xml:space="preserve">Total Distributors Evaluated</t>
  </si>
  <si>
    <t xml:space="preserve">Shortlisted (PASS filters)</t>
  </si>
  <si>
    <t xml:space="preserve">Active Strategy</t>
  </si>
  <si>
    <t xml:space="preserve">  SCORING ENGINE  —  All scores update live when you edit 'Distributor Data' or 'Strategy Config'</t>
  </si>
  <si>
    <t xml:space="preserve">Rank</t>
  </si>
  <si>
    <t xml:space="preserve">Composite
Score (/100)</t>
  </si>
  <si>
    <t xml:space="preserve">Capacity
Score</t>
  </si>
  <si>
    <t xml:space="preserve">Rating
Score</t>
  </si>
  <si>
    <t xml:space="preserve">Margin
Score</t>
  </si>
  <si>
    <t xml:space="preserve">Yrs Active
Score</t>
  </si>
  <si>
    <t xml:space="preserve">EV Focus
Score</t>
  </si>
  <si>
    <t xml:space="preserve">Network
Score</t>
  </si>
  <si>
    <t xml:space="preserve">Stability
Score</t>
  </si>
  <si>
    <t xml:space="preserve">Status</t>
  </si>
  <si>
    <t xml:space="preserve">  TOP 10 RANKED DISTRIBUTORS</t>
  </si>
  <si>
    <t xml:space="preserve">#</t>
  </si>
  <si>
    <t xml:space="preserve">Composite Score (0-100)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</si>
</sst>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\%"/>
    <numFmt numFmtId="167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496A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A99D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8496A9"/>
      <name val="Arial"/>
      <family val="0"/>
      <charset val="1"/>
    </font>
    <font>
      <b val="true"/>
      <sz val="8"/>
      <color rgb="FF8496A9"/>
      <name val="Arial"/>
      <family val="0"/>
      <charset val="1"/>
    </font>
    <font>
      <b val="true"/>
      <sz val="20"/>
      <color rgb="FF0D2B55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D2B55"/>
        <bgColor rgb="FF003300"/>
      </patternFill>
    </fill>
    <fill>
      <patternFill patternType="solid">
        <fgColor rgb="FFF4F7FB"/>
        <bgColor rgb="FFE8F4F3"/>
      </patternFill>
    </fill>
    <fill>
      <patternFill patternType="solid">
        <fgColor rgb="FF00A99D"/>
        <bgColor rgb="FF00808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4F7FB"/>
      </patternFill>
    </fill>
    <fill>
      <patternFill patternType="solid">
        <fgColor rgb="FFE8F4F3"/>
        <bgColor rgb="FFF4F7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375623"/>
      </font>
      <fill>
        <patternFill>
          <bgColor rgb="FFC6EFCE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A99D"/>
      <rgbColor rgb="FFC0C0C0"/>
      <rgbColor rgb="FF878787"/>
      <rgbColor rgb="FF9999FF"/>
      <rgbColor rgb="FF993366"/>
      <rgbColor rgb="FFFFF2CC"/>
      <rgbColor rgb="FFE8F4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4F7FB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E6A817"/>
      <rgbColor rgb="FFFF6600"/>
      <rgbColor rgb="FF666699"/>
      <rgbColor rgb="FF8496A9"/>
      <rgbColor rgb="FF0D2B55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EV Distributors — Composite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Dashboard!C37</c:f>
              <c:strCache>
                <c:ptCount val="1"/>
                <c:pt idx="0">
                  <c:v>Composite Score (0-100)</c:v>
                </c:pt>
              </c:strCache>
            </c:strRef>
          </c:tx>
          <c:spPr>
            <a:solidFill>
              <a:srgbClr val="00A99D"/>
            </a:solidFill>
            <a:ln w="12600">
              <a:solidFill>
                <a:srgbClr val="0D2B5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D2B5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Dashboard!$B$38:$B$47</c:f>
              <c:strCache>
                <c:ptCount val="10"/>
                <c:pt idx="0">
                  <c:v>Green Mobility Hub</c:v>
                </c:pt>
                <c:pt idx="1">
                  <c:v>TechDrive Motors</c:v>
                </c:pt>
                <c:pt idx="2">
                  <c:v>AutoEdge Solutions</c:v>
                </c:pt>
                <c:pt idx="3">
                  <c:v>Pioneer EV Hub</c:v>
                </c:pt>
                <c:pt idx="4">
                  <c:v>Kochi Green Motors</c:v>
                </c:pt>
                <c:pt idx="5">
                  <c:v>EcoWheels India</c:v>
                </c:pt>
                <c:pt idx="6">
                  <c:v>Surat EV Solutions</c:v>
                </c:pt>
                <c:pt idx="7">
                  <c:v>North Star Vehicles</c:v>
                </c:pt>
                <c:pt idx="8">
                  <c:v>Velocity Distributors</c:v>
                </c:pt>
                <c:pt idx="9">
                  <c:v>NextGen Motors</c:v>
                </c:pt>
              </c:strCache>
            </c:strRef>
          </c:cat>
          <c:val>
            <c:numRef>
              <c:f>Dashboard!$C$38:$C$47</c:f>
              <c:numCache>
                <c:formatCode>0.0</c:formatCode>
                <c:ptCount val="10"/>
                <c:pt idx="0">
                  <c:v>69.5461724266072</c:v>
                </c:pt>
                <c:pt idx="1">
                  <c:v>69.3803418803419</c:v>
                </c:pt>
                <c:pt idx="2">
                  <c:v>67.7749907097733</c:v>
                </c:pt>
                <c:pt idx="3">
                  <c:v>63.064381270903</c:v>
                </c:pt>
                <c:pt idx="4">
                  <c:v>60.554347826087</c:v>
                </c:pt>
                <c:pt idx="5">
                  <c:v>58.8930694908956</c:v>
                </c:pt>
                <c:pt idx="6">
                  <c:v>55.7783351913787</c:v>
                </c:pt>
                <c:pt idx="7">
                  <c:v>55.1082311408399</c:v>
                </c:pt>
                <c:pt idx="8">
                  <c:v>54.0435711631364</c:v>
                </c:pt>
                <c:pt idx="9">
                  <c:v>51.1036789297659</c:v>
                </c:pt>
              </c:numCache>
            </c:numRef>
          </c:val>
        </c:ser>
        <c:gapWidth val="150"/>
        <c:overlap val="0"/>
        <c:axId val="72630181"/>
        <c:axId val="12194651"/>
      </c:barChart>
      <c:catAx>
        <c:axId val="726301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194651"/>
        <c:crosses val="autoZero"/>
        <c:auto val="1"/>
        <c:lblAlgn val="ctr"/>
        <c:lblOffset val="100"/>
        <c:noMultiLvlLbl val="0"/>
      </c:catAx>
      <c:valAx>
        <c:axId val="12194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6301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35</xdr:row>
      <xdr:rowOff>0</xdr:rowOff>
    </xdr:from>
    <xdr:to>
      <xdr:col>12</xdr:col>
      <xdr:colOff>574200</xdr:colOff>
      <xdr:row>56</xdr:row>
      <xdr:rowOff>155160</xdr:rowOff>
    </xdr:to>
    <xdr:graphicFrame>
      <xdr:nvGraphicFramePr>
        <xdr:cNvPr id="1" name="Chart 1"/>
        <xdr:cNvGraphicFramePr/>
      </xdr:nvGraphicFramePr>
      <xdr:xfrm>
        <a:off x="4793040" y="768672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55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13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">
        <v>11</v>
      </c>
      <c r="C2" s="2" t="s">
        <v>12</v>
      </c>
      <c r="D2" s="2" t="s">
        <v>12</v>
      </c>
      <c r="E2" s="2" t="n">
        <v>1200</v>
      </c>
      <c r="F2" s="2" t="n">
        <v>4.5</v>
      </c>
      <c r="G2" s="4" t="n">
        <v>18</v>
      </c>
      <c r="H2" s="2" t="n">
        <v>8</v>
      </c>
      <c r="I2" s="2" t="n">
        <v>75</v>
      </c>
      <c r="J2" s="2" t="n">
        <v>12</v>
      </c>
      <c r="K2" s="2" t="n">
        <v>4.5</v>
      </c>
    </row>
    <row r="3" customFormat="false" ht="15" hidden="false" customHeight="false" outlineLevel="0" collapsed="false">
      <c r="A3" s="5" t="n">
        <v>2</v>
      </c>
      <c r="B3" s="6" t="s">
        <v>13</v>
      </c>
      <c r="C3" s="5" t="s">
        <v>14</v>
      </c>
      <c r="D3" s="5" t="s">
        <v>15</v>
      </c>
      <c r="E3" s="5" t="n">
        <v>950</v>
      </c>
      <c r="F3" s="5" t="n">
        <v>4.8</v>
      </c>
      <c r="G3" s="7" t="n">
        <v>22</v>
      </c>
      <c r="H3" s="5" t="n">
        <v>5</v>
      </c>
      <c r="I3" s="5" t="n">
        <v>90</v>
      </c>
      <c r="J3" s="5" t="n">
        <v>8</v>
      </c>
      <c r="K3" s="5" t="n">
        <v>4.8</v>
      </c>
    </row>
    <row r="4" customFormat="false" ht="15" hidden="false" customHeight="false" outlineLevel="0" collapsed="false">
      <c r="A4" s="2" t="n">
        <v>3</v>
      </c>
      <c r="B4" s="3" t="s">
        <v>16</v>
      </c>
      <c r="C4" s="2" t="s">
        <v>17</v>
      </c>
      <c r="D4" s="2" t="s">
        <v>18</v>
      </c>
      <c r="E4" s="2" t="n">
        <v>1500</v>
      </c>
      <c r="F4" s="2" t="n">
        <v>4.2</v>
      </c>
      <c r="G4" s="4" t="n">
        <v>16</v>
      </c>
      <c r="H4" s="2" t="n">
        <v>12</v>
      </c>
      <c r="I4" s="2" t="n">
        <v>60</v>
      </c>
      <c r="J4" s="2" t="n">
        <v>15</v>
      </c>
      <c r="K4" s="2" t="n">
        <v>4.2</v>
      </c>
    </row>
    <row r="5" customFormat="false" ht="15" hidden="false" customHeight="false" outlineLevel="0" collapsed="false">
      <c r="A5" s="5" t="n">
        <v>4</v>
      </c>
      <c r="B5" s="6" t="s">
        <v>19</v>
      </c>
      <c r="C5" s="5" t="s">
        <v>20</v>
      </c>
      <c r="D5" s="5" t="s">
        <v>18</v>
      </c>
      <c r="E5" s="5" t="n">
        <v>800</v>
      </c>
      <c r="F5" s="5" t="n">
        <v>4.6</v>
      </c>
      <c r="G5" s="7" t="n">
        <v>20</v>
      </c>
      <c r="H5" s="5" t="n">
        <v>6</v>
      </c>
      <c r="I5" s="5" t="n">
        <v>85</v>
      </c>
      <c r="J5" s="5" t="n">
        <v>6</v>
      </c>
      <c r="K5" s="5" t="n">
        <v>4.6</v>
      </c>
    </row>
    <row r="6" customFormat="false" ht="15" hidden="false" customHeight="false" outlineLevel="0" collapsed="false">
      <c r="A6" s="2" t="n">
        <v>5</v>
      </c>
      <c r="B6" s="3" t="s">
        <v>21</v>
      </c>
      <c r="C6" s="2" t="s">
        <v>22</v>
      </c>
      <c r="D6" s="2" t="s">
        <v>23</v>
      </c>
      <c r="E6" s="2" t="n">
        <v>1100</v>
      </c>
      <c r="F6" s="2" t="n">
        <v>4</v>
      </c>
      <c r="G6" s="4" t="n">
        <v>15</v>
      </c>
      <c r="H6" s="2" t="n">
        <v>10</v>
      </c>
      <c r="I6" s="2" t="n">
        <v>55</v>
      </c>
      <c r="J6" s="2" t="n">
        <v>11</v>
      </c>
      <c r="K6" s="2" t="n">
        <v>4</v>
      </c>
    </row>
    <row r="7" customFormat="false" ht="15" hidden="false" customHeight="false" outlineLevel="0" collapsed="false">
      <c r="A7" s="5" t="n">
        <v>6</v>
      </c>
      <c r="B7" s="6" t="s">
        <v>24</v>
      </c>
      <c r="C7" s="5" t="s">
        <v>25</v>
      </c>
      <c r="D7" s="5" t="s">
        <v>26</v>
      </c>
      <c r="E7" s="5" t="n">
        <v>900</v>
      </c>
      <c r="F7" s="5" t="n">
        <v>4.3</v>
      </c>
      <c r="G7" s="7" t="n">
        <v>19</v>
      </c>
      <c r="H7" s="5" t="n">
        <v>7</v>
      </c>
      <c r="I7" s="5" t="n">
        <v>70</v>
      </c>
      <c r="J7" s="5" t="n">
        <v>9</v>
      </c>
      <c r="K7" s="5" t="n">
        <v>4.3</v>
      </c>
    </row>
    <row r="8" customFormat="false" ht="15" hidden="false" customHeight="false" outlineLevel="0" collapsed="false">
      <c r="A8" s="2" t="n">
        <v>7</v>
      </c>
      <c r="B8" s="3" t="s">
        <v>27</v>
      </c>
      <c r="C8" s="2" t="s">
        <v>28</v>
      </c>
      <c r="D8" s="2" t="s">
        <v>29</v>
      </c>
      <c r="E8" s="2" t="n">
        <v>1300</v>
      </c>
      <c r="F8" s="2" t="n">
        <v>4.1</v>
      </c>
      <c r="G8" s="4" t="n">
        <v>17</v>
      </c>
      <c r="H8" s="2" t="n">
        <v>11</v>
      </c>
      <c r="I8" s="2" t="n">
        <v>65</v>
      </c>
      <c r="J8" s="2" t="n">
        <v>13</v>
      </c>
      <c r="K8" s="2" t="n">
        <v>4.1</v>
      </c>
    </row>
    <row r="9" customFormat="false" ht="15" hidden="false" customHeight="false" outlineLevel="0" collapsed="false">
      <c r="A9" s="5" t="n">
        <v>8</v>
      </c>
      <c r="B9" s="6" t="s">
        <v>30</v>
      </c>
      <c r="C9" s="5" t="s">
        <v>31</v>
      </c>
      <c r="D9" s="5" t="s">
        <v>32</v>
      </c>
      <c r="E9" s="5" t="n">
        <v>700</v>
      </c>
      <c r="F9" s="5" t="n">
        <v>4.4</v>
      </c>
      <c r="G9" s="7" t="n">
        <v>21</v>
      </c>
      <c r="H9" s="5" t="n">
        <v>4</v>
      </c>
      <c r="I9" s="5" t="n">
        <v>80</v>
      </c>
      <c r="J9" s="5" t="n">
        <v>7</v>
      </c>
      <c r="K9" s="5" t="n">
        <v>4.4</v>
      </c>
    </row>
    <row r="10" customFormat="false" ht="15" hidden="false" customHeight="false" outlineLevel="0" collapsed="false">
      <c r="A10" s="2" t="n">
        <v>9</v>
      </c>
      <c r="B10" s="3" t="s">
        <v>33</v>
      </c>
      <c r="C10" s="2" t="s">
        <v>34</v>
      </c>
      <c r="D10" s="2" t="s">
        <v>35</v>
      </c>
      <c r="E10" s="2" t="n">
        <v>600</v>
      </c>
      <c r="F10" s="2" t="n">
        <v>3.9</v>
      </c>
      <c r="G10" s="4" t="n">
        <v>14</v>
      </c>
      <c r="H10" s="2" t="n">
        <v>9</v>
      </c>
      <c r="I10" s="2" t="n">
        <v>50</v>
      </c>
      <c r="J10" s="2" t="n">
        <v>6</v>
      </c>
      <c r="K10" s="2" t="n">
        <v>3.9</v>
      </c>
    </row>
    <row r="11" customFormat="false" ht="15" hidden="false" customHeight="false" outlineLevel="0" collapsed="false">
      <c r="A11" s="5" t="n">
        <v>10</v>
      </c>
      <c r="B11" s="6" t="s">
        <v>36</v>
      </c>
      <c r="C11" s="5" t="s">
        <v>37</v>
      </c>
      <c r="D11" s="5" t="s">
        <v>38</v>
      </c>
      <c r="E11" s="5" t="n">
        <v>500</v>
      </c>
      <c r="F11" s="5" t="n">
        <v>4.7</v>
      </c>
      <c r="G11" s="7" t="n">
        <v>23</v>
      </c>
      <c r="H11" s="5" t="n">
        <v>3</v>
      </c>
      <c r="I11" s="5" t="n">
        <v>88</v>
      </c>
      <c r="J11" s="5" t="n">
        <v>5</v>
      </c>
      <c r="K11" s="5" t="n">
        <v>4.7</v>
      </c>
    </row>
    <row r="12" customFormat="false" ht="15" hidden="false" customHeight="false" outlineLevel="0" collapsed="false">
      <c r="A12" s="2" t="n">
        <v>11</v>
      </c>
      <c r="B12" s="3" t="s">
        <v>39</v>
      </c>
      <c r="C12" s="2" t="s">
        <v>40</v>
      </c>
      <c r="D12" s="2" t="s">
        <v>23</v>
      </c>
      <c r="E12" s="2" t="n">
        <v>750</v>
      </c>
      <c r="F12" s="2" t="n">
        <v>4.2</v>
      </c>
      <c r="G12" s="4" t="n">
        <v>18</v>
      </c>
      <c r="H12" s="2" t="n">
        <v>6</v>
      </c>
      <c r="I12" s="2" t="n">
        <v>72</v>
      </c>
      <c r="J12" s="2" t="n">
        <v>7</v>
      </c>
      <c r="K12" s="2" t="n">
        <v>4.2</v>
      </c>
    </row>
    <row r="13" customFormat="false" ht="15" hidden="false" customHeight="false" outlineLevel="0" collapsed="false">
      <c r="A13" s="5" t="n">
        <v>12</v>
      </c>
      <c r="B13" s="6" t="s">
        <v>41</v>
      </c>
      <c r="C13" s="5" t="s">
        <v>42</v>
      </c>
      <c r="D13" s="5" t="s">
        <v>43</v>
      </c>
      <c r="E13" s="5" t="n">
        <v>650</v>
      </c>
      <c r="F13" s="5" t="n">
        <v>3.8</v>
      </c>
      <c r="G13" s="7" t="n">
        <v>13</v>
      </c>
      <c r="H13" s="5" t="n">
        <v>8</v>
      </c>
      <c r="I13" s="5" t="n">
        <v>45</v>
      </c>
      <c r="J13" s="5" t="n">
        <v>6</v>
      </c>
      <c r="K13" s="5" t="n">
        <v>3.8</v>
      </c>
    </row>
    <row r="14" customFormat="false" ht="15" hidden="false" customHeight="false" outlineLevel="0" collapsed="false">
      <c r="A14" s="2" t="n">
        <v>13</v>
      </c>
      <c r="B14" s="3" t="s">
        <v>44</v>
      </c>
      <c r="C14" s="2" t="s">
        <v>45</v>
      </c>
      <c r="D14" s="2" t="s">
        <v>18</v>
      </c>
      <c r="E14" s="2" t="n">
        <v>550</v>
      </c>
      <c r="F14" s="2" t="n">
        <v>4</v>
      </c>
      <c r="G14" s="4" t="n">
        <v>16</v>
      </c>
      <c r="H14" s="2" t="n">
        <v>5</v>
      </c>
      <c r="I14" s="2" t="n">
        <v>60</v>
      </c>
      <c r="J14" s="2" t="n">
        <v>5</v>
      </c>
      <c r="K14" s="2" t="n">
        <v>4</v>
      </c>
    </row>
    <row r="15" customFormat="false" ht="15" hidden="false" customHeight="false" outlineLevel="0" collapsed="false">
      <c r="A15" s="5" t="n">
        <v>14</v>
      </c>
      <c r="B15" s="6" t="s">
        <v>46</v>
      </c>
      <c r="C15" s="5" t="s">
        <v>47</v>
      </c>
      <c r="D15" s="5" t="s">
        <v>29</v>
      </c>
      <c r="E15" s="5" t="n">
        <v>870</v>
      </c>
      <c r="F15" s="5" t="n">
        <v>4.3</v>
      </c>
      <c r="G15" s="7" t="n">
        <v>20</v>
      </c>
      <c r="H15" s="5" t="n">
        <v>7</v>
      </c>
      <c r="I15" s="5" t="n">
        <v>78</v>
      </c>
      <c r="J15" s="5" t="n">
        <v>8</v>
      </c>
      <c r="K15" s="5" t="n">
        <v>4.3</v>
      </c>
    </row>
    <row r="16" customFormat="false" ht="15" hidden="false" customHeight="false" outlineLevel="0" collapsed="false">
      <c r="A16" s="2" t="n">
        <v>15</v>
      </c>
      <c r="B16" s="3" t="s">
        <v>48</v>
      </c>
      <c r="C16" s="2" t="s">
        <v>49</v>
      </c>
      <c r="D16" s="2" t="s">
        <v>50</v>
      </c>
      <c r="E16" s="2" t="n">
        <v>680</v>
      </c>
      <c r="F16" s="2" t="n">
        <v>4.6</v>
      </c>
      <c r="G16" s="4" t="n">
        <v>24</v>
      </c>
      <c r="H16" s="2" t="n">
        <v>4</v>
      </c>
      <c r="I16" s="2" t="n">
        <v>92</v>
      </c>
      <c r="J16" s="2" t="n">
        <v>6</v>
      </c>
      <c r="K16" s="2" t="n">
        <v>4.6</v>
      </c>
    </row>
    <row r="17" customFormat="false" ht="15" hidden="false" customHeight="false" outlineLevel="0" collapsed="false">
      <c r="A17" s="5" t="n">
        <v>16</v>
      </c>
      <c r="B17" s="6" t="s">
        <v>51</v>
      </c>
      <c r="C17" s="5" t="s">
        <v>52</v>
      </c>
      <c r="D17" s="5" t="s">
        <v>53</v>
      </c>
      <c r="E17" s="5" t="n">
        <v>720</v>
      </c>
      <c r="F17" s="5" t="n">
        <v>4.1</v>
      </c>
      <c r="G17" s="7" t="n">
        <v>17</v>
      </c>
      <c r="H17" s="5" t="n">
        <v>6</v>
      </c>
      <c r="I17" s="5" t="n">
        <v>65</v>
      </c>
      <c r="J17" s="5" t="n">
        <v>7</v>
      </c>
      <c r="K17" s="5" t="n">
        <v>4.1</v>
      </c>
    </row>
    <row r="18" customFormat="false" ht="15" hidden="false" customHeight="false" outlineLevel="0" collapsed="false">
      <c r="A18" s="2" t="n">
        <v>17</v>
      </c>
      <c r="B18" s="3" t="s">
        <v>54</v>
      </c>
      <c r="C18" s="2" t="s">
        <v>55</v>
      </c>
      <c r="D18" s="2" t="s">
        <v>53</v>
      </c>
      <c r="E18" s="2" t="n">
        <v>580</v>
      </c>
      <c r="F18" s="2" t="n">
        <v>3.7</v>
      </c>
      <c r="G18" s="4" t="n">
        <v>12</v>
      </c>
      <c r="H18" s="2" t="n">
        <v>9</v>
      </c>
      <c r="I18" s="2" t="n">
        <v>42</v>
      </c>
      <c r="J18" s="2" t="n">
        <v>5</v>
      </c>
      <c r="K18" s="2" t="n">
        <v>3.7</v>
      </c>
    </row>
    <row r="19" customFormat="false" ht="15" hidden="false" customHeight="false" outlineLevel="0" collapsed="false">
      <c r="A19" s="5" t="n">
        <v>18</v>
      </c>
      <c r="B19" s="6" t="s">
        <v>56</v>
      </c>
      <c r="C19" s="5" t="s">
        <v>57</v>
      </c>
      <c r="D19" s="5" t="s">
        <v>58</v>
      </c>
      <c r="E19" s="5" t="n">
        <v>840</v>
      </c>
      <c r="F19" s="5" t="n">
        <v>4.2</v>
      </c>
      <c r="G19" s="7" t="n">
        <v>19</v>
      </c>
      <c r="H19" s="5" t="n">
        <v>5</v>
      </c>
      <c r="I19" s="5" t="n">
        <v>73</v>
      </c>
      <c r="J19" s="5" t="n">
        <v>8</v>
      </c>
      <c r="K19" s="5" t="n">
        <v>4.2</v>
      </c>
    </row>
    <row r="20" customFormat="false" ht="15" hidden="false" customHeight="false" outlineLevel="0" collapsed="false">
      <c r="A20" s="2" t="n">
        <v>19</v>
      </c>
      <c r="B20" s="3" t="s">
        <v>59</v>
      </c>
      <c r="C20" s="2" t="s">
        <v>60</v>
      </c>
      <c r="D20" s="2" t="s">
        <v>29</v>
      </c>
      <c r="E20" s="2" t="n">
        <v>920</v>
      </c>
      <c r="F20" s="2" t="n">
        <v>4</v>
      </c>
      <c r="G20" s="4" t="n">
        <v>16</v>
      </c>
      <c r="H20" s="2" t="n">
        <v>8</v>
      </c>
      <c r="I20" s="2" t="n">
        <v>62</v>
      </c>
      <c r="J20" s="2" t="n">
        <v>9</v>
      </c>
      <c r="K20" s="2" t="n">
        <v>4</v>
      </c>
    </row>
    <row r="21" customFormat="false" ht="15" hidden="false" customHeight="false" outlineLevel="0" collapsed="false">
      <c r="A21" s="5" t="n">
        <v>20</v>
      </c>
      <c r="B21" s="6" t="s">
        <v>61</v>
      </c>
      <c r="C21" s="5" t="s">
        <v>62</v>
      </c>
      <c r="D21" s="5" t="s">
        <v>15</v>
      </c>
      <c r="E21" s="5" t="n">
        <v>460</v>
      </c>
      <c r="F21" s="5" t="n">
        <v>4.5</v>
      </c>
      <c r="G21" s="7" t="n">
        <v>22</v>
      </c>
      <c r="H21" s="5" t="n">
        <v>3</v>
      </c>
      <c r="I21" s="5" t="n">
        <v>86</v>
      </c>
      <c r="J21" s="5" t="n">
        <v>4</v>
      </c>
      <c r="K21" s="5" t="n">
        <v>4.5</v>
      </c>
    </row>
    <row r="22" customFormat="false" ht="15" hidden="false" customHeight="false" outlineLevel="0" collapsed="false">
      <c r="A22" s="2" t="n">
        <v>21</v>
      </c>
      <c r="B22" s="3" t="s">
        <v>63</v>
      </c>
      <c r="C22" s="2" t="s">
        <v>64</v>
      </c>
      <c r="D22" s="2" t="s">
        <v>65</v>
      </c>
      <c r="E22" s="2" t="n">
        <v>400</v>
      </c>
      <c r="F22" s="2" t="n">
        <v>3.6</v>
      </c>
      <c r="G22" s="4" t="n">
        <v>11</v>
      </c>
      <c r="H22" s="2" t="n">
        <v>7</v>
      </c>
      <c r="I22" s="2" t="n">
        <v>38</v>
      </c>
      <c r="J22" s="2" t="n">
        <v>4</v>
      </c>
      <c r="K22" s="2" t="n">
        <v>3.6</v>
      </c>
    </row>
    <row r="23" customFormat="false" ht="15" hidden="false" customHeight="false" outlineLevel="0" collapsed="false">
      <c r="A23" s="5" t="n">
        <v>22</v>
      </c>
      <c r="B23" s="6" t="s">
        <v>66</v>
      </c>
      <c r="C23" s="5" t="s">
        <v>67</v>
      </c>
      <c r="D23" s="5" t="s">
        <v>68</v>
      </c>
      <c r="E23" s="5" t="n">
        <v>520</v>
      </c>
      <c r="F23" s="5" t="n">
        <v>3.9</v>
      </c>
      <c r="G23" s="7" t="n">
        <v>15</v>
      </c>
      <c r="H23" s="5" t="n">
        <v>5</v>
      </c>
      <c r="I23" s="5" t="n">
        <v>55</v>
      </c>
      <c r="J23" s="5" t="n">
        <v>5</v>
      </c>
      <c r="K23" s="5" t="n">
        <v>3.9</v>
      </c>
    </row>
    <row r="24" customFormat="false" ht="15" hidden="false" customHeight="false" outlineLevel="0" collapsed="false">
      <c r="A24" s="2" t="n">
        <v>23</v>
      </c>
      <c r="B24" s="3" t="s">
        <v>69</v>
      </c>
      <c r="C24" s="2" t="s">
        <v>70</v>
      </c>
      <c r="D24" s="2" t="s">
        <v>71</v>
      </c>
      <c r="E24" s="2" t="n">
        <v>380</v>
      </c>
      <c r="F24" s="2" t="n">
        <v>4.3</v>
      </c>
      <c r="G24" s="4" t="n">
        <v>20</v>
      </c>
      <c r="H24" s="2" t="n">
        <v>3</v>
      </c>
      <c r="I24" s="2" t="n">
        <v>82</v>
      </c>
      <c r="J24" s="2" t="n">
        <v>3</v>
      </c>
      <c r="K24" s="2" t="n">
        <v>4.3</v>
      </c>
    </row>
    <row r="25" customFormat="false" ht="15" hidden="false" customHeight="false" outlineLevel="0" collapsed="false">
      <c r="A25" s="5" t="n">
        <v>24</v>
      </c>
      <c r="B25" s="6" t="s">
        <v>72</v>
      </c>
      <c r="C25" s="5" t="s">
        <v>73</v>
      </c>
      <c r="D25" s="5" t="s">
        <v>74</v>
      </c>
      <c r="E25" s="5" t="n">
        <v>350</v>
      </c>
      <c r="F25" s="5" t="n">
        <v>3.8</v>
      </c>
      <c r="G25" s="7" t="n">
        <v>14</v>
      </c>
      <c r="H25" s="5" t="n">
        <v>4</v>
      </c>
      <c r="I25" s="5" t="n">
        <v>48</v>
      </c>
      <c r="J25" s="5" t="n">
        <v>3</v>
      </c>
      <c r="K25" s="5" t="n">
        <v>3.8</v>
      </c>
    </row>
    <row r="26" customFormat="false" ht="15" hidden="false" customHeight="false" outlineLevel="0" collapsed="false">
      <c r="A26" s="2" t="n">
        <v>25</v>
      </c>
      <c r="B26" s="3" t="s">
        <v>75</v>
      </c>
      <c r="C26" s="2" t="s">
        <v>76</v>
      </c>
      <c r="D26" s="2" t="s">
        <v>50</v>
      </c>
      <c r="E26" s="2" t="n">
        <v>590</v>
      </c>
      <c r="F26" s="2" t="n">
        <v>4.4</v>
      </c>
      <c r="G26" s="4" t="n">
        <v>21</v>
      </c>
      <c r="H26" s="2" t="n">
        <v>5</v>
      </c>
      <c r="I26" s="2" t="n">
        <v>79</v>
      </c>
      <c r="J26" s="2" t="n">
        <v>5</v>
      </c>
      <c r="K26" s="2" t="n">
        <v>4.4</v>
      </c>
    </row>
    <row r="27" customFormat="false" ht="15" hidden="false" customHeight="false" outlineLevel="0" collapsed="false">
      <c r="A27" s="8" t="s">
        <v>77</v>
      </c>
      <c r="B27" s="8"/>
      <c r="C27" s="8"/>
      <c r="D27" s="8"/>
      <c r="E27" s="8"/>
      <c r="F27" s="8"/>
      <c r="G27" s="8"/>
      <c r="H27" s="8"/>
      <c r="I27" s="8"/>
      <c r="J27" s="8"/>
      <c r="K27" s="8"/>
    </row>
  </sheetData>
  <mergeCells count="1"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9D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33.75" hidden="false" customHeight="true" outlineLevel="0" collapsed="false">
      <c r="A1" s="9" t="s">
        <v>78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79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11" t="s">
        <v>80</v>
      </c>
      <c r="B4" s="12" t="s">
        <v>81</v>
      </c>
      <c r="C4" s="13" t="s">
        <v>82</v>
      </c>
      <c r="D4" s="13"/>
      <c r="E4" s="13"/>
      <c r="F4" s="13"/>
    </row>
    <row r="6" customFormat="false" ht="21.75" hidden="false" customHeight="true" outlineLevel="0" collapsed="false">
      <c r="A6" s="14" t="s">
        <v>83</v>
      </c>
      <c r="B6" s="14"/>
      <c r="C6" s="14"/>
      <c r="D6" s="14"/>
      <c r="E6" s="14"/>
      <c r="F6" s="14"/>
    </row>
    <row r="7" customFormat="false" ht="30" hidden="false" customHeight="true" outlineLevel="0" collapsed="false">
      <c r="A7" s="15" t="s">
        <v>84</v>
      </c>
      <c r="B7" s="15" t="s">
        <v>81</v>
      </c>
      <c r="C7" s="15" t="s">
        <v>85</v>
      </c>
      <c r="D7" s="15" t="s">
        <v>86</v>
      </c>
      <c r="E7" s="15" t="s">
        <v>87</v>
      </c>
      <c r="F7" s="16" t="s">
        <v>88</v>
      </c>
    </row>
    <row r="8" customFormat="false" ht="15" hidden="false" customHeight="false" outlineLevel="0" collapsed="false">
      <c r="A8" s="17" t="s">
        <v>89</v>
      </c>
      <c r="B8" s="18" t="n">
        <v>15</v>
      </c>
      <c r="C8" s="18" t="n">
        <v>25</v>
      </c>
      <c r="D8" s="18" t="n">
        <v>15</v>
      </c>
      <c r="E8" s="18" t="n">
        <v>10</v>
      </c>
      <c r="F8" s="19" t="n">
        <v>15</v>
      </c>
    </row>
    <row r="9" customFormat="false" ht="15" hidden="false" customHeight="false" outlineLevel="0" collapsed="false">
      <c r="A9" s="20" t="s">
        <v>90</v>
      </c>
      <c r="B9" s="21" t="n">
        <v>15</v>
      </c>
      <c r="C9" s="21" t="n">
        <v>10</v>
      </c>
      <c r="D9" s="21" t="n">
        <v>15</v>
      </c>
      <c r="E9" s="21" t="n">
        <v>25</v>
      </c>
      <c r="F9" s="19" t="n">
        <v>15</v>
      </c>
    </row>
    <row r="10" customFormat="false" ht="15" hidden="false" customHeight="false" outlineLevel="0" collapsed="false">
      <c r="A10" s="17" t="s">
        <v>91</v>
      </c>
      <c r="B10" s="18" t="n">
        <v>15</v>
      </c>
      <c r="C10" s="18" t="n">
        <v>10</v>
      </c>
      <c r="D10" s="18" t="n">
        <v>25</v>
      </c>
      <c r="E10" s="18" t="n">
        <v>15</v>
      </c>
      <c r="F10" s="19" t="n">
        <v>15</v>
      </c>
    </row>
    <row r="11" customFormat="false" ht="15" hidden="false" customHeight="false" outlineLevel="0" collapsed="false">
      <c r="A11" s="20" t="s">
        <v>92</v>
      </c>
      <c r="B11" s="21" t="n">
        <v>15</v>
      </c>
      <c r="C11" s="21" t="n">
        <v>5</v>
      </c>
      <c r="D11" s="21" t="n">
        <v>15</v>
      </c>
      <c r="E11" s="21" t="n">
        <v>15</v>
      </c>
      <c r="F11" s="19" t="n">
        <v>15</v>
      </c>
    </row>
    <row r="12" customFormat="false" ht="15" hidden="false" customHeight="false" outlineLevel="0" collapsed="false">
      <c r="A12" s="17" t="s">
        <v>93</v>
      </c>
      <c r="B12" s="18" t="n">
        <v>15</v>
      </c>
      <c r="C12" s="18" t="n">
        <v>25</v>
      </c>
      <c r="D12" s="18" t="n">
        <v>10</v>
      </c>
      <c r="E12" s="18" t="n">
        <v>15</v>
      </c>
      <c r="F12" s="19" t="n">
        <v>15</v>
      </c>
    </row>
    <row r="13" customFormat="false" ht="15" hidden="false" customHeight="false" outlineLevel="0" collapsed="false">
      <c r="A13" s="20" t="s">
        <v>94</v>
      </c>
      <c r="B13" s="21" t="n">
        <v>15</v>
      </c>
      <c r="C13" s="21" t="n">
        <v>20</v>
      </c>
      <c r="D13" s="21" t="n">
        <v>10</v>
      </c>
      <c r="E13" s="21" t="n">
        <v>10</v>
      </c>
      <c r="F13" s="19" t="n">
        <v>15</v>
      </c>
    </row>
    <row r="14" customFormat="false" ht="15" hidden="false" customHeight="false" outlineLevel="0" collapsed="false">
      <c r="A14" s="17" t="s">
        <v>95</v>
      </c>
      <c r="B14" s="18" t="n">
        <v>10</v>
      </c>
      <c r="C14" s="18" t="n">
        <v>5</v>
      </c>
      <c r="D14" s="18" t="n">
        <v>10</v>
      </c>
      <c r="E14" s="18" t="n">
        <v>10</v>
      </c>
      <c r="F14" s="19" t="n">
        <v>10</v>
      </c>
    </row>
    <row r="15" customFormat="false" ht="15" hidden="false" customHeight="false" outlineLevel="0" collapsed="false">
      <c r="A15" s="22" t="s">
        <v>96</v>
      </c>
      <c r="B15" s="23" t="n">
        <v>100</v>
      </c>
      <c r="C15" s="23" t="n">
        <v>100</v>
      </c>
      <c r="D15" s="23" t="n">
        <v>100</v>
      </c>
      <c r="E15" s="23" t="n">
        <v>100</v>
      </c>
      <c r="F15" s="24" t="n">
        <f aca="false">SUM(F8:F14)</f>
        <v>100</v>
      </c>
    </row>
    <row r="16" customFormat="false" ht="15" hidden="false" customHeight="false" outlineLevel="0" collapsed="false">
      <c r="A16" s="25" t="s">
        <v>97</v>
      </c>
      <c r="B16" s="25"/>
      <c r="C16" s="25"/>
      <c r="D16" s="25"/>
      <c r="E16" s="25"/>
      <c r="F16" s="25"/>
    </row>
    <row r="18" customFormat="false" ht="21.75" hidden="false" customHeight="true" outlineLevel="0" collapsed="false">
      <c r="A18" s="10" t="s">
        <v>98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22" t="s">
        <v>99</v>
      </c>
      <c r="B19" s="26" t="n">
        <v>500</v>
      </c>
      <c r="C19" s="25" t="s">
        <v>100</v>
      </c>
      <c r="D19" s="25"/>
      <c r="E19" s="25"/>
      <c r="F19" s="25"/>
    </row>
    <row r="20" customFormat="false" ht="15" hidden="false" customHeight="false" outlineLevel="0" collapsed="false">
      <c r="A20" s="22" t="s">
        <v>101</v>
      </c>
      <c r="B20" s="26" t="n">
        <v>4</v>
      </c>
      <c r="C20" s="25" t="s">
        <v>100</v>
      </c>
      <c r="D20" s="25"/>
      <c r="E20" s="25"/>
      <c r="F20" s="25"/>
    </row>
    <row r="21" customFormat="false" ht="15" hidden="false" customHeight="false" outlineLevel="0" collapsed="false">
      <c r="A21" s="22" t="s">
        <v>102</v>
      </c>
      <c r="B21" s="26" t="n">
        <v>60</v>
      </c>
      <c r="C21" s="25" t="s">
        <v>100</v>
      </c>
      <c r="D21" s="25"/>
      <c r="E21" s="25"/>
      <c r="F21" s="25"/>
    </row>
    <row r="23" customFormat="false" ht="15" hidden="false" customHeight="false" outlineLevel="0" collapsed="false">
      <c r="A23" s="25" t="s">
        <v>103</v>
      </c>
      <c r="B23" s="25"/>
      <c r="C23" s="25"/>
      <c r="D23" s="25"/>
      <c r="E23" s="25"/>
      <c r="F23" s="25"/>
    </row>
  </sheetData>
  <mergeCells count="10">
    <mergeCell ref="A1:F1"/>
    <mergeCell ref="A3:F3"/>
    <mergeCell ref="C4:F4"/>
    <mergeCell ref="A6:F6"/>
    <mergeCell ref="A16:F16"/>
    <mergeCell ref="A18:F18"/>
    <mergeCell ref="C19:F19"/>
    <mergeCell ref="C20:F20"/>
    <mergeCell ref="C21:F21"/>
    <mergeCell ref="A23:F23"/>
  </mergeCells>
  <conditionalFormatting sqref="F15">
    <cfRule type="expression" priority="2" aboveAverage="0" equalAverage="0" bottom="0" percent="0" rank="0" text="" dxfId="0">
      <formula>F15&lt;&gt;100</formula>
    </cfRule>
    <cfRule type="expression" priority="3" aboveAverage="0" equalAverage="0" bottom="0" percent="0" rank="0" text="" dxfId="1">
      <formula>F15=100</formula>
    </cfRule>
  </conditionalFormatting>
  <dataValidations count="1">
    <dataValidation allowBlank="false" errorStyle="stop" operator="between" showDropDown="false" showErrorMessage="false" showInputMessage="false" sqref="B4" type="list">
      <formula1>"Balanced,Growth-Focused,Cost-Optimized,Quality-First"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A817"/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10" min="8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42" hidden="false" customHeight="true" outlineLevel="0" collapsed="false">
      <c r="A1" s="27" t="s">
        <v>104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customFormat="false" ht="18" hidden="false" customHeight="true" outlineLevel="0" collapsed="false">
      <c r="A2" s="28" t="s">
        <v>105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customFormat="false" ht="19.5" hidden="false" customHeight="true" outlineLevel="0" collapsed="false">
      <c r="A4" s="10" t="s">
        <v>106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15" hidden="false" customHeight="false" outlineLevel="0" collapsed="false">
      <c r="A5" s="29" t="s">
        <v>107</v>
      </c>
      <c r="B5" s="29"/>
      <c r="C5" s="29"/>
      <c r="D5" s="29"/>
      <c r="E5" s="29" t="s">
        <v>108</v>
      </c>
      <c r="F5" s="29"/>
      <c r="G5" s="29"/>
      <c r="H5" s="29"/>
      <c r="I5" s="29" t="s">
        <v>109</v>
      </c>
      <c r="J5" s="29"/>
      <c r="K5" s="29"/>
      <c r="L5" s="29"/>
      <c r="M5" s="29"/>
    </row>
    <row r="6" customFormat="false" ht="37.5" hidden="false" customHeight="true" outlineLevel="0" collapsed="false">
      <c r="A6" s="30" t="n">
        <f aca="false">COUNTA('Distributor Data'!B2:B26)</f>
        <v>25</v>
      </c>
      <c r="B6" s="30"/>
      <c r="C6" s="30"/>
      <c r="D6" s="30"/>
      <c r="E6" s="30" t="n">
        <f aca="false">COUNTIF(M10:M34,"PASS")</f>
        <v>16</v>
      </c>
      <c r="F6" s="30"/>
      <c r="G6" s="30"/>
      <c r="H6" s="30"/>
      <c r="I6" s="30" t="str">
        <f aca="false">'Strategy Config'!B4</f>
        <v>Balanced</v>
      </c>
      <c r="J6" s="30"/>
      <c r="K6" s="30"/>
      <c r="L6" s="30"/>
      <c r="M6" s="30"/>
    </row>
    <row r="8" customFormat="false" ht="19.5" hidden="false" customHeight="true" outlineLevel="0" collapsed="false">
      <c r="A8" s="10" t="s">
        <v>110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Format="false" ht="33.75" hidden="false" customHeight="true" outlineLevel="0" collapsed="false">
      <c r="A9" s="16" t="s">
        <v>111</v>
      </c>
      <c r="B9" s="16" t="s">
        <v>1</v>
      </c>
      <c r="C9" s="16" t="s">
        <v>2</v>
      </c>
      <c r="D9" s="16" t="s">
        <v>3</v>
      </c>
      <c r="E9" s="16" t="s">
        <v>112</v>
      </c>
      <c r="F9" s="16" t="s">
        <v>113</v>
      </c>
      <c r="G9" s="16" t="s">
        <v>114</v>
      </c>
      <c r="H9" s="16" t="s">
        <v>115</v>
      </c>
      <c r="I9" s="16" t="s">
        <v>116</v>
      </c>
      <c r="J9" s="16" t="s">
        <v>117</v>
      </c>
      <c r="K9" s="16" t="s">
        <v>118</v>
      </c>
      <c r="L9" s="16" t="s">
        <v>119</v>
      </c>
      <c r="M9" s="16" t="s">
        <v>120</v>
      </c>
    </row>
    <row r="10" customFormat="false" ht="15" hidden="false" customHeight="false" outlineLevel="0" collapsed="false">
      <c r="A10" s="31" t="n">
        <f aca="false">IF(M10="PASS",COUNTIFS($M$10:$M$34,"PASS",$E$10:$E$34,"&gt;"&amp;E10)+1,"-")</f>
        <v>3</v>
      </c>
      <c r="B10" s="32" t="str">
        <f aca="false">'Distributor Data'!B2</f>
        <v>AutoEdge Solutions</v>
      </c>
      <c r="C10" s="33" t="str">
        <f aca="false">'Distributor Data'!C2</f>
        <v>Delhi</v>
      </c>
      <c r="D10" s="33" t="str">
        <f aca="false">'Distributor Data'!D2</f>
        <v>Delhi</v>
      </c>
      <c r="E10" s="34" t="n">
        <f aca="false">IFERROR(F10*'Strategy Config'!$F$8/100+G10*'Strategy Config'!$F$9/100+H10*'Strategy Config'!$F$10/100+I10*'Strategy Config'!$F$11/100+J10*'Strategy Config'!$F$12/100+K10*'Strategy Config'!$F$13/100+L10*'Strategy Config'!$F$14/100,0)</f>
        <v>67.7749907097733</v>
      </c>
      <c r="F10" s="35" t="n">
        <f aca="false">IFERROR(('Distributor Data'!E2-MIN('Distributor Data'!$E$2:$E$26))/(MAX('Distributor Data'!$E$2:$E$26)-MIN('Distributor Data'!$E$2:$E$26))*100,50)</f>
        <v>73.9130434782609</v>
      </c>
      <c r="G10" s="35" t="n">
        <f aca="false">IFERROR(('Distributor Data'!F2-MIN('Distributor Data'!$F$2:$F$26))/(MAX('Distributor Data'!$F$2:$F$26)-MIN('Distributor Data'!$F$2:$F$26))*100,50)</f>
        <v>75</v>
      </c>
      <c r="H10" s="35" t="n">
        <f aca="false">IFERROR(('Distributor Data'!G2-MIN('Distributor Data'!$G$2:$G$26))/(MAX('Distributor Data'!$G$2:$G$26)-MIN('Distributor Data'!$G$2:$G$26))*100,50)</f>
        <v>53.8461538461539</v>
      </c>
      <c r="I10" s="35" t="n">
        <f aca="false">IFERROR(('Distributor Data'!H2-MIN('Distributor Data'!$H$2:$H$26))/(MAX('Distributor Data'!$H$2:$H$26)-MIN('Distributor Data'!$H$2:$H$26))*100,50)</f>
        <v>55.5555555555556</v>
      </c>
      <c r="J10" s="35" t="n">
        <f aca="false">IFERROR(('Distributor Data'!I2-MIN('Distributor Data'!$I$2:$I$26))/(MAX('Distributor Data'!$I$2:$I$26)-MIN('Distributor Data'!$I$2:$I$26))*100,50)</f>
        <v>68.5185185185185</v>
      </c>
      <c r="K10" s="35" t="n">
        <f aca="false">IFERROR(('Distributor Data'!J2-MIN('Distributor Data'!$J$2:$J$26))/(MAX('Distributor Data'!$J$2:$J$26)-MIN('Distributor Data'!$J$2:$J$26))*100,50)</f>
        <v>75</v>
      </c>
      <c r="L10" s="35" t="n">
        <f aca="false">IFERROR(('Distributor Data'!K2-MIN('Distributor Data'!$K$2:$K$26))/(MAX('Distributor Data'!$K$2:$K$26)-MIN('Distributor Data'!$K$2:$K$26))*100,50)</f>
        <v>75</v>
      </c>
      <c r="M10" s="36" t="str">
        <f aca="false">IF(AND('Distributor Data'!E2&gt;='Strategy Config'!$B$19,'Distributor Data'!F2&gt;='Strategy Config'!$B$20,'Distributor Data'!I2&gt;='Strategy Config'!$B$21),"PASS","FAIL")</f>
        <v>PASS</v>
      </c>
    </row>
    <row r="11" customFormat="false" ht="15" hidden="false" customHeight="false" outlineLevel="0" collapsed="false">
      <c r="A11" s="37" t="n">
        <f aca="false">IF(M11="PASS",COUNTIFS($M$10:$M$34,"PASS",$E$10:$E$34,"&gt;"&amp;E11)+1,"-")</f>
        <v>1</v>
      </c>
      <c r="B11" s="38" t="str">
        <f aca="false">'Distributor Data'!B3</f>
        <v>Green Mobility Hub</v>
      </c>
      <c r="C11" s="39" t="str">
        <f aca="false">'Distributor Data'!C3</f>
        <v>Bangalore</v>
      </c>
      <c r="D11" s="39" t="str">
        <f aca="false">'Distributor Data'!D3</f>
        <v>Karnataka</v>
      </c>
      <c r="E11" s="40" t="n">
        <f aca="false">IFERROR(F11*'Strategy Config'!$F$8/100+G11*'Strategy Config'!$F$9/100+H11*'Strategy Config'!$F$10/100+I11*'Strategy Config'!$F$11/100+J11*'Strategy Config'!$F$12/100+K11*'Strategy Config'!$F$13/100+L11*'Strategy Config'!$F$14/100,0)</f>
        <v>69.5461724266072</v>
      </c>
      <c r="F11" s="41" t="n">
        <f aca="false">IFERROR(('Distributor Data'!E3-MIN('Distributor Data'!$E$2:$E$26))/(MAX('Distributor Data'!$E$2:$E$26)-MIN('Distributor Data'!$E$2:$E$26))*100,50)</f>
        <v>52.1739130434783</v>
      </c>
      <c r="G11" s="41" t="n">
        <f aca="false">IFERROR(('Distributor Data'!F3-MIN('Distributor Data'!$F$2:$F$26))/(MAX('Distributor Data'!$F$2:$F$26)-MIN('Distributor Data'!$F$2:$F$26))*100,50)</f>
        <v>100</v>
      </c>
      <c r="H11" s="41" t="n">
        <f aca="false">IFERROR(('Distributor Data'!G3-MIN('Distributor Data'!$G$2:$G$26))/(MAX('Distributor Data'!$G$2:$G$26)-MIN('Distributor Data'!$G$2:$G$26))*100,50)</f>
        <v>84.6153846153846</v>
      </c>
      <c r="I11" s="41" t="n">
        <f aca="false">IFERROR(('Distributor Data'!H3-MIN('Distributor Data'!$H$2:$H$26))/(MAX('Distributor Data'!$H$2:$H$26)-MIN('Distributor Data'!$H$2:$H$26))*100,50)</f>
        <v>22.2222222222222</v>
      </c>
      <c r="J11" s="41" t="n">
        <f aca="false">IFERROR(('Distributor Data'!I3-MIN('Distributor Data'!$I$2:$I$26))/(MAX('Distributor Data'!$I$2:$I$26)-MIN('Distributor Data'!$I$2:$I$26))*100,50)</f>
        <v>96.2962962962963</v>
      </c>
      <c r="K11" s="41" t="n">
        <f aca="false">IFERROR(('Distributor Data'!J3-MIN('Distributor Data'!$J$2:$J$26))/(MAX('Distributor Data'!$J$2:$J$26)-MIN('Distributor Data'!$J$2:$J$26))*100,50)</f>
        <v>41.6666666666667</v>
      </c>
      <c r="L11" s="41" t="n">
        <f aca="false">IFERROR(('Distributor Data'!K3-MIN('Distributor Data'!$K$2:$K$26))/(MAX('Distributor Data'!$K$2:$K$26)-MIN('Distributor Data'!$K$2:$K$26))*100,50)</f>
        <v>100</v>
      </c>
      <c r="M11" s="42" t="str">
        <f aca="false">IF(AND('Distributor Data'!E3&gt;='Strategy Config'!$B$19,'Distributor Data'!F3&gt;='Strategy Config'!$B$20,'Distributor Data'!I3&gt;='Strategy Config'!$B$21),"PASS","FAIL")</f>
        <v>PASS</v>
      </c>
    </row>
    <row r="12" customFormat="false" ht="15" hidden="false" customHeight="false" outlineLevel="0" collapsed="false">
      <c r="A12" s="31" t="n">
        <f aca="false">IF(M12="PASS",COUNTIFS($M$10:$M$34,"PASS",$E$10:$E$34,"&gt;"&amp;E12)+1,"-")</f>
        <v>2</v>
      </c>
      <c r="B12" s="32" t="str">
        <f aca="false">'Distributor Data'!B4</f>
        <v>TechDrive Motors</v>
      </c>
      <c r="C12" s="33" t="str">
        <f aca="false">'Distributor Data'!C4</f>
        <v>Mumbai</v>
      </c>
      <c r="D12" s="33" t="str">
        <f aca="false">'Distributor Data'!D4</f>
        <v>Maharashtra</v>
      </c>
      <c r="E12" s="34" t="n">
        <f aca="false">IFERROR(F12*'Strategy Config'!$F$8/100+G12*'Strategy Config'!$F$9/100+H12*'Strategy Config'!$F$10/100+I12*'Strategy Config'!$F$11/100+J12*'Strategy Config'!$F$12/100+K12*'Strategy Config'!$F$13/100+L12*'Strategy Config'!$F$14/100,0)</f>
        <v>69.3803418803419</v>
      </c>
      <c r="F12" s="35" t="n">
        <f aca="false">IFERROR(('Distributor Data'!E4-MIN('Distributor Data'!$E$2:$E$26))/(MAX('Distributor Data'!$E$2:$E$26)-MIN('Distributor Data'!$E$2:$E$26))*100,50)</f>
        <v>100</v>
      </c>
      <c r="G12" s="35" t="n">
        <f aca="false">IFERROR(('Distributor Data'!F4-MIN('Distributor Data'!$F$2:$F$26))/(MAX('Distributor Data'!$F$2:$F$26)-MIN('Distributor Data'!$F$2:$F$26))*100,50)</f>
        <v>50</v>
      </c>
      <c r="H12" s="35" t="n">
        <f aca="false">IFERROR(('Distributor Data'!G4-MIN('Distributor Data'!$G$2:$G$26))/(MAX('Distributor Data'!$G$2:$G$26)-MIN('Distributor Data'!$G$2:$G$26))*100,50)</f>
        <v>38.4615384615385</v>
      </c>
      <c r="I12" s="35" t="n">
        <f aca="false">IFERROR(('Distributor Data'!H4-MIN('Distributor Data'!$H$2:$H$26))/(MAX('Distributor Data'!$H$2:$H$26)-MIN('Distributor Data'!$H$2:$H$26))*100,50)</f>
        <v>100</v>
      </c>
      <c r="J12" s="35" t="n">
        <f aca="false">IFERROR(('Distributor Data'!I4-MIN('Distributor Data'!$I$2:$I$26))/(MAX('Distributor Data'!$I$2:$I$26)-MIN('Distributor Data'!$I$2:$I$26))*100,50)</f>
        <v>40.7407407407407</v>
      </c>
      <c r="K12" s="35" t="n">
        <f aca="false">IFERROR(('Distributor Data'!J4-MIN('Distributor Data'!$J$2:$J$26))/(MAX('Distributor Data'!$J$2:$J$26)-MIN('Distributor Data'!$J$2:$J$26))*100,50)</f>
        <v>100</v>
      </c>
      <c r="L12" s="35" t="n">
        <f aca="false">IFERROR(('Distributor Data'!K4-MIN('Distributor Data'!$K$2:$K$26))/(MAX('Distributor Data'!$K$2:$K$26)-MIN('Distributor Data'!$K$2:$K$26))*100,50)</f>
        <v>50</v>
      </c>
      <c r="M12" s="36" t="str">
        <f aca="false">IF(AND('Distributor Data'!E4&gt;='Strategy Config'!$B$19,'Distributor Data'!F4&gt;='Strategy Config'!$B$20,'Distributor Data'!I4&gt;='Strategy Config'!$B$21),"PASS","FAIL")</f>
        <v>PASS</v>
      </c>
    </row>
    <row r="13" customFormat="false" ht="15" hidden="false" customHeight="false" outlineLevel="0" collapsed="false">
      <c r="A13" s="37" t="n">
        <f aca="false">IF(M13="PASS",COUNTIFS($M$10:$M$34,"PASS",$E$10:$E$34,"&gt;"&amp;E13)+1,"-")</f>
        <v>6</v>
      </c>
      <c r="B13" s="38" t="str">
        <f aca="false">'Distributor Data'!B5</f>
        <v>EcoWheels India</v>
      </c>
      <c r="C13" s="39" t="str">
        <f aca="false">'Distributor Data'!C5</f>
        <v>Pune</v>
      </c>
      <c r="D13" s="39" t="str">
        <f aca="false">'Distributor Data'!D5</f>
        <v>Maharashtra</v>
      </c>
      <c r="E13" s="40" t="n">
        <f aca="false">IFERROR(F13*'Strategy Config'!$F$8/100+G13*'Strategy Config'!$F$9/100+H13*'Strategy Config'!$F$10/100+I13*'Strategy Config'!$F$11/100+J13*'Strategy Config'!$F$12/100+K13*'Strategy Config'!$F$13/100+L13*'Strategy Config'!$F$14/100,0)</f>
        <v>58.8930694908956</v>
      </c>
      <c r="F13" s="41" t="n">
        <f aca="false">IFERROR(('Distributor Data'!E5-MIN('Distributor Data'!$E$2:$E$26))/(MAX('Distributor Data'!$E$2:$E$26)-MIN('Distributor Data'!$E$2:$E$26))*100,50)</f>
        <v>39.1304347826087</v>
      </c>
      <c r="G13" s="41" t="n">
        <f aca="false">IFERROR(('Distributor Data'!F5-MIN('Distributor Data'!$F$2:$F$26))/(MAX('Distributor Data'!$F$2:$F$26)-MIN('Distributor Data'!$F$2:$F$26))*100,50)</f>
        <v>83.3333333333333</v>
      </c>
      <c r="H13" s="41" t="n">
        <f aca="false">IFERROR(('Distributor Data'!G5-MIN('Distributor Data'!$G$2:$G$26))/(MAX('Distributor Data'!$G$2:$G$26)-MIN('Distributor Data'!$G$2:$G$26))*100,50)</f>
        <v>69.2307692307692</v>
      </c>
      <c r="I13" s="41" t="n">
        <f aca="false">IFERROR(('Distributor Data'!H5-MIN('Distributor Data'!$H$2:$H$26))/(MAX('Distributor Data'!$H$2:$H$26)-MIN('Distributor Data'!$H$2:$H$26))*100,50)</f>
        <v>33.3333333333333</v>
      </c>
      <c r="J13" s="41" t="n">
        <f aca="false">IFERROR(('Distributor Data'!I5-MIN('Distributor Data'!$I$2:$I$26))/(MAX('Distributor Data'!$I$2:$I$26)-MIN('Distributor Data'!$I$2:$I$26))*100,50)</f>
        <v>87.037037037037</v>
      </c>
      <c r="K13" s="41" t="n">
        <f aca="false">IFERROR(('Distributor Data'!J5-MIN('Distributor Data'!$J$2:$J$26))/(MAX('Distributor Data'!$J$2:$J$26)-MIN('Distributor Data'!$J$2:$J$26))*100,50)</f>
        <v>25</v>
      </c>
      <c r="L13" s="41" t="n">
        <f aca="false">IFERROR(('Distributor Data'!K5-MIN('Distributor Data'!$K$2:$K$26))/(MAX('Distributor Data'!$K$2:$K$26)-MIN('Distributor Data'!$K$2:$K$26))*100,50)</f>
        <v>83.3333333333333</v>
      </c>
      <c r="M13" s="42" t="str">
        <f aca="false">IF(AND('Distributor Data'!E5&gt;='Strategy Config'!$B$19,'Distributor Data'!F5&gt;='Strategy Config'!$B$20,'Distributor Data'!I5&gt;='Strategy Config'!$B$21),"PASS","FAIL")</f>
        <v>PASS</v>
      </c>
    </row>
    <row r="14" customFormat="false" ht="15" hidden="false" customHeight="false" outlineLevel="0" collapsed="false">
      <c r="A14" s="31" t="str">
        <f aca="false">IF(M14="PASS",COUNTIFS($M$10:$M$34,"PASS",$E$10:$E$34,"&gt;"&amp;E14)+1,"-")</f>
        <v>-</v>
      </c>
      <c r="B14" s="32" t="str">
        <f aca="false">'Distributor Data'!B6</f>
        <v>Sunrise Auto</v>
      </c>
      <c r="C14" s="33" t="str">
        <f aca="false">'Distributor Data'!C6</f>
        <v>Chennai</v>
      </c>
      <c r="D14" s="33" t="str">
        <f aca="false">'Distributor Data'!D6</f>
        <v>Tamil Nadu</v>
      </c>
      <c r="E14" s="34" t="n">
        <f aca="false">IFERROR(F14*'Strategy Config'!$F$8/100+G14*'Strategy Config'!$F$9/100+H14*'Strategy Config'!$F$10/100+I14*'Strategy Config'!$F$11/100+J14*'Strategy Config'!$F$12/100+K14*'Strategy Config'!$F$13/100+L14*'Strategy Config'!$F$14/100,0)</f>
        <v>49.120215533259</v>
      </c>
      <c r="F14" s="35" t="n">
        <f aca="false">IFERROR(('Distributor Data'!E6-MIN('Distributor Data'!$E$2:$E$26))/(MAX('Distributor Data'!$E$2:$E$26)-MIN('Distributor Data'!$E$2:$E$26))*100,50)</f>
        <v>65.2173913043478</v>
      </c>
      <c r="G14" s="35" t="n">
        <f aca="false">IFERROR(('Distributor Data'!F6-MIN('Distributor Data'!$F$2:$F$26))/(MAX('Distributor Data'!$F$2:$F$26)-MIN('Distributor Data'!$F$2:$F$26))*100,50)</f>
        <v>33.3333333333333</v>
      </c>
      <c r="H14" s="35" t="n">
        <f aca="false">IFERROR(('Distributor Data'!G6-MIN('Distributor Data'!$G$2:$G$26))/(MAX('Distributor Data'!$G$2:$G$26)-MIN('Distributor Data'!$G$2:$G$26))*100,50)</f>
        <v>30.7692307692308</v>
      </c>
      <c r="I14" s="35" t="n">
        <f aca="false">IFERROR(('Distributor Data'!H6-MIN('Distributor Data'!$H$2:$H$26))/(MAX('Distributor Data'!$H$2:$H$26)-MIN('Distributor Data'!$H$2:$H$26))*100,50)</f>
        <v>77.7777777777778</v>
      </c>
      <c r="J14" s="35" t="n">
        <f aca="false">IFERROR(('Distributor Data'!I6-MIN('Distributor Data'!$I$2:$I$26))/(MAX('Distributor Data'!$I$2:$I$26)-MIN('Distributor Data'!$I$2:$I$26))*100,50)</f>
        <v>31.4814814814815</v>
      </c>
      <c r="K14" s="35" t="n">
        <f aca="false">IFERROR(('Distributor Data'!J6-MIN('Distributor Data'!$J$2:$J$26))/(MAX('Distributor Data'!$J$2:$J$26)-MIN('Distributor Data'!$J$2:$J$26))*100,50)</f>
        <v>66.6666666666667</v>
      </c>
      <c r="L14" s="35" t="n">
        <f aca="false">IFERROR(('Distributor Data'!K6-MIN('Distributor Data'!$K$2:$K$26))/(MAX('Distributor Data'!$K$2:$K$26)-MIN('Distributor Data'!$K$2:$K$26))*100,50)</f>
        <v>33.3333333333333</v>
      </c>
      <c r="M14" s="36" t="str">
        <f aca="false">IF(AND('Distributor Data'!E6&gt;='Strategy Config'!$B$19,'Distributor Data'!F6&gt;='Strategy Config'!$B$20,'Distributor Data'!I6&gt;='Strategy Config'!$B$21),"PASS","FAIL")</f>
        <v>FAIL</v>
      </c>
    </row>
    <row r="15" customFormat="false" ht="15" hidden="false" customHeight="false" outlineLevel="0" collapsed="false">
      <c r="A15" s="37" t="n">
        <f aca="false">IF(M15="PASS",COUNTIFS($M$10:$M$34,"PASS",$E$10:$E$34,"&gt;"&amp;E15)+1,"-")</f>
        <v>9</v>
      </c>
      <c r="B15" s="38" t="str">
        <f aca="false">'Distributor Data'!B7</f>
        <v>Velocity Distributors</v>
      </c>
      <c r="C15" s="39" t="str">
        <f aca="false">'Distributor Data'!C7</f>
        <v>Hyderabad</v>
      </c>
      <c r="D15" s="39" t="str">
        <f aca="false">'Distributor Data'!D7</f>
        <v>Telangana</v>
      </c>
      <c r="E15" s="40" t="n">
        <f aca="false">IFERROR(F15*'Strategy Config'!$F$8/100+G15*'Strategy Config'!$F$9/100+H15*'Strategy Config'!$F$10/100+I15*'Strategy Config'!$F$11/100+J15*'Strategy Config'!$F$12/100+K15*'Strategy Config'!$F$13/100+L15*'Strategy Config'!$F$14/100,0)</f>
        <v>54.0435711631364</v>
      </c>
      <c r="F15" s="41" t="n">
        <f aca="false">IFERROR(('Distributor Data'!E7-MIN('Distributor Data'!$E$2:$E$26))/(MAX('Distributor Data'!$E$2:$E$26)-MIN('Distributor Data'!$E$2:$E$26))*100,50)</f>
        <v>47.8260869565217</v>
      </c>
      <c r="G15" s="41" t="n">
        <f aca="false">IFERROR(('Distributor Data'!F7-MIN('Distributor Data'!$F$2:$F$26))/(MAX('Distributor Data'!$F$2:$F$26)-MIN('Distributor Data'!$F$2:$F$26))*100,50)</f>
        <v>58.3333333333333</v>
      </c>
      <c r="H15" s="41" t="n">
        <f aca="false">IFERROR(('Distributor Data'!G7-MIN('Distributor Data'!$G$2:$G$26))/(MAX('Distributor Data'!$G$2:$G$26)-MIN('Distributor Data'!$G$2:$G$26))*100,50)</f>
        <v>61.5384615384615</v>
      </c>
      <c r="I15" s="41" t="n">
        <f aca="false">IFERROR(('Distributor Data'!H7-MIN('Distributor Data'!$H$2:$H$26))/(MAX('Distributor Data'!$H$2:$H$26)-MIN('Distributor Data'!$H$2:$H$26))*100,50)</f>
        <v>44.4444444444444</v>
      </c>
      <c r="J15" s="41" t="n">
        <f aca="false">IFERROR(('Distributor Data'!I7-MIN('Distributor Data'!$I$2:$I$26))/(MAX('Distributor Data'!$I$2:$I$26)-MIN('Distributor Data'!$I$2:$I$26))*100,50)</f>
        <v>59.2592592592593</v>
      </c>
      <c r="K15" s="41" t="n">
        <f aca="false">IFERROR(('Distributor Data'!J7-MIN('Distributor Data'!$J$2:$J$26))/(MAX('Distributor Data'!$J$2:$J$26)-MIN('Distributor Data'!$J$2:$J$26))*100,50)</f>
        <v>50</v>
      </c>
      <c r="L15" s="41" t="n">
        <f aca="false">IFERROR(('Distributor Data'!K7-MIN('Distributor Data'!$K$2:$K$26))/(MAX('Distributor Data'!$K$2:$K$26)-MIN('Distributor Data'!$K$2:$K$26))*100,50)</f>
        <v>58.3333333333333</v>
      </c>
      <c r="M15" s="42" t="str">
        <f aca="false">IF(AND('Distributor Data'!E7&gt;='Strategy Config'!$B$19,'Distributor Data'!F7&gt;='Strategy Config'!$B$20,'Distributor Data'!I7&gt;='Strategy Config'!$B$21),"PASS","FAIL")</f>
        <v>PASS</v>
      </c>
    </row>
    <row r="16" customFormat="false" ht="15" hidden="false" customHeight="false" outlineLevel="0" collapsed="false">
      <c r="A16" s="31" t="n">
        <f aca="false">IF(M16="PASS",COUNTIFS($M$10:$M$34,"PASS",$E$10:$E$34,"&gt;"&amp;E16)+1,"-")</f>
        <v>4</v>
      </c>
      <c r="B16" s="32" t="str">
        <f aca="false">'Distributor Data'!B8</f>
        <v>Pioneer EV Hub</v>
      </c>
      <c r="C16" s="33" t="str">
        <f aca="false">'Distributor Data'!C8</f>
        <v>Ahmedabad</v>
      </c>
      <c r="D16" s="33" t="str">
        <f aca="false">'Distributor Data'!D8</f>
        <v>Gujarat</v>
      </c>
      <c r="E16" s="34" t="n">
        <f aca="false">IFERROR(F16*'Strategy Config'!$F$8/100+G16*'Strategy Config'!$F$9/100+H16*'Strategy Config'!$F$10/100+I16*'Strategy Config'!$F$11/100+J16*'Strategy Config'!$F$12/100+K16*'Strategy Config'!$F$13/100+L16*'Strategy Config'!$F$14/100,0)</f>
        <v>63.064381270903</v>
      </c>
      <c r="F16" s="35" t="n">
        <f aca="false">IFERROR(('Distributor Data'!E8-MIN('Distributor Data'!$E$2:$E$26))/(MAX('Distributor Data'!$E$2:$E$26)-MIN('Distributor Data'!$E$2:$E$26))*100,50)</f>
        <v>82.6086956521739</v>
      </c>
      <c r="G16" s="35" t="n">
        <f aca="false">IFERROR(('Distributor Data'!F8-MIN('Distributor Data'!$F$2:$F$26))/(MAX('Distributor Data'!$F$2:$F$26)-MIN('Distributor Data'!$F$2:$F$26))*100,50)</f>
        <v>41.6666666666666</v>
      </c>
      <c r="H16" s="35" t="n">
        <f aca="false">IFERROR(('Distributor Data'!G8-MIN('Distributor Data'!$G$2:$G$26))/(MAX('Distributor Data'!$G$2:$G$26)-MIN('Distributor Data'!$G$2:$G$26))*100,50)</f>
        <v>46.1538461538462</v>
      </c>
      <c r="I16" s="35" t="n">
        <f aca="false">IFERROR(('Distributor Data'!H8-MIN('Distributor Data'!$H$2:$H$26))/(MAX('Distributor Data'!$H$2:$H$26)-MIN('Distributor Data'!$H$2:$H$26))*100,50)</f>
        <v>88.8888888888889</v>
      </c>
      <c r="J16" s="35" t="n">
        <f aca="false">IFERROR(('Distributor Data'!I8-MIN('Distributor Data'!$I$2:$I$26))/(MAX('Distributor Data'!$I$2:$I$26)-MIN('Distributor Data'!$I$2:$I$26))*100,50)</f>
        <v>50</v>
      </c>
      <c r="K16" s="35" t="n">
        <f aca="false">IFERROR(('Distributor Data'!J8-MIN('Distributor Data'!$J$2:$J$26))/(MAX('Distributor Data'!$J$2:$J$26)-MIN('Distributor Data'!$J$2:$J$26))*100,50)</f>
        <v>83.3333333333333</v>
      </c>
      <c r="L16" s="35" t="n">
        <f aca="false">IFERROR(('Distributor Data'!K8-MIN('Distributor Data'!$K$2:$K$26))/(MAX('Distributor Data'!$K$2:$K$26)-MIN('Distributor Data'!$K$2:$K$26))*100,50)</f>
        <v>41.6666666666666</v>
      </c>
      <c r="M16" s="36" t="str">
        <f aca="false">IF(AND('Distributor Data'!E8&gt;='Strategy Config'!$B$19,'Distributor Data'!F8&gt;='Strategy Config'!$B$20,'Distributor Data'!I8&gt;='Strategy Config'!$B$21),"PASS","FAIL")</f>
        <v>PASS</v>
      </c>
    </row>
    <row r="17" customFormat="false" ht="15" hidden="false" customHeight="false" outlineLevel="0" collapsed="false">
      <c r="A17" s="37" t="n">
        <f aca="false">IF(M17="PASS",COUNTIFS($M$10:$M$34,"PASS",$E$10:$E$34,"&gt;"&amp;E17)+1,"-")</f>
        <v>10</v>
      </c>
      <c r="B17" s="38" t="str">
        <f aca="false">'Distributor Data'!B9</f>
        <v>NextGen Motors</v>
      </c>
      <c r="C17" s="39" t="str">
        <f aca="false">'Distributor Data'!C9</f>
        <v>Kolkata</v>
      </c>
      <c r="D17" s="39" t="str">
        <f aca="false">'Distributor Data'!D9</f>
        <v>West Bengal</v>
      </c>
      <c r="E17" s="40" t="n">
        <f aca="false">IFERROR(F17*'Strategy Config'!$F$8/100+G17*'Strategy Config'!$F$9/100+H17*'Strategy Config'!$F$10/100+I17*'Strategy Config'!$F$11/100+J17*'Strategy Config'!$F$12/100+K17*'Strategy Config'!$F$13/100+L17*'Strategy Config'!$F$14/100,0)</f>
        <v>51.1036789297659</v>
      </c>
      <c r="F17" s="41" t="n">
        <f aca="false">IFERROR(('Distributor Data'!E9-MIN('Distributor Data'!$E$2:$E$26))/(MAX('Distributor Data'!$E$2:$E$26)-MIN('Distributor Data'!$E$2:$E$26))*100,50)</f>
        <v>30.4347826086957</v>
      </c>
      <c r="G17" s="41" t="n">
        <f aca="false">IFERROR(('Distributor Data'!F9-MIN('Distributor Data'!$F$2:$F$26))/(MAX('Distributor Data'!$F$2:$F$26)-MIN('Distributor Data'!$F$2:$F$26))*100,50)</f>
        <v>66.6666666666667</v>
      </c>
      <c r="H17" s="41" t="n">
        <f aca="false">IFERROR(('Distributor Data'!G9-MIN('Distributor Data'!$G$2:$G$26))/(MAX('Distributor Data'!$G$2:$G$26)-MIN('Distributor Data'!$G$2:$G$26))*100,50)</f>
        <v>76.9230769230769</v>
      </c>
      <c r="I17" s="41" t="n">
        <f aca="false">IFERROR(('Distributor Data'!H9-MIN('Distributor Data'!$H$2:$H$26))/(MAX('Distributor Data'!$H$2:$H$26)-MIN('Distributor Data'!$H$2:$H$26))*100,50)</f>
        <v>11.1111111111111</v>
      </c>
      <c r="J17" s="41" t="n">
        <f aca="false">IFERROR(('Distributor Data'!I9-MIN('Distributor Data'!$I$2:$I$26))/(MAX('Distributor Data'!$I$2:$I$26)-MIN('Distributor Data'!$I$2:$I$26))*100,50)</f>
        <v>77.7777777777778</v>
      </c>
      <c r="K17" s="41" t="n">
        <f aca="false">IFERROR(('Distributor Data'!J9-MIN('Distributor Data'!$J$2:$J$26))/(MAX('Distributor Data'!$J$2:$J$26)-MIN('Distributor Data'!$J$2:$J$26))*100,50)</f>
        <v>33.3333333333333</v>
      </c>
      <c r="L17" s="41" t="n">
        <f aca="false">IFERROR(('Distributor Data'!K9-MIN('Distributor Data'!$K$2:$K$26))/(MAX('Distributor Data'!$K$2:$K$26)-MIN('Distributor Data'!$K$2:$K$26))*100,50)</f>
        <v>66.6666666666667</v>
      </c>
      <c r="M17" s="42" t="str">
        <f aca="false">IF(AND('Distributor Data'!E9&gt;='Strategy Config'!$B$19,'Distributor Data'!F9&gt;='Strategy Config'!$B$20,'Distributor Data'!I9&gt;='Strategy Config'!$B$21),"PASS","FAIL")</f>
        <v>PASS</v>
      </c>
    </row>
    <row r="18" customFormat="false" ht="15" hidden="false" customHeight="false" outlineLevel="0" collapsed="false">
      <c r="A18" s="31" t="str">
        <f aca="false">IF(M18="PASS",COUNTIFS($M$10:$M$34,"PASS",$E$10:$E$34,"&gt;"&amp;E18)+1,"-")</f>
        <v>-</v>
      </c>
      <c r="B18" s="32" t="str">
        <f aca="false">'Distributor Data'!B10</f>
        <v>RajAuto Network</v>
      </c>
      <c r="C18" s="33" t="str">
        <f aca="false">'Distributor Data'!C10</f>
        <v>Jaipur</v>
      </c>
      <c r="D18" s="33" t="str">
        <f aca="false">'Distributor Data'!D10</f>
        <v>Rajasthan</v>
      </c>
      <c r="E18" s="34" t="n">
        <f aca="false">IFERROR(F18*'Strategy Config'!$F$8/100+G18*'Strategy Config'!$F$9/100+H18*'Strategy Config'!$F$10/100+I18*'Strategy Config'!$F$11/100+J18*'Strategy Config'!$F$12/100+K18*'Strategy Config'!$F$13/100+L18*'Strategy Config'!$F$14/100,0)</f>
        <v>30.0557413600892</v>
      </c>
      <c r="F18" s="35" t="n">
        <f aca="false">IFERROR(('Distributor Data'!E10-MIN('Distributor Data'!$E$2:$E$26))/(MAX('Distributor Data'!$E$2:$E$26)-MIN('Distributor Data'!$E$2:$E$26))*100,50)</f>
        <v>21.7391304347826</v>
      </c>
      <c r="G18" s="35" t="n">
        <f aca="false">IFERROR(('Distributor Data'!F10-MIN('Distributor Data'!$F$2:$F$26))/(MAX('Distributor Data'!$F$2:$F$26)-MIN('Distributor Data'!$F$2:$F$26))*100,50)</f>
        <v>25</v>
      </c>
      <c r="H18" s="35" t="n">
        <f aca="false">IFERROR(('Distributor Data'!G10-MIN('Distributor Data'!$G$2:$G$26))/(MAX('Distributor Data'!$G$2:$G$26)-MIN('Distributor Data'!$G$2:$G$26))*100,50)</f>
        <v>23.0769230769231</v>
      </c>
      <c r="I18" s="35" t="n">
        <f aca="false">IFERROR(('Distributor Data'!H10-MIN('Distributor Data'!$H$2:$H$26))/(MAX('Distributor Data'!$H$2:$H$26)-MIN('Distributor Data'!$H$2:$H$26))*100,50)</f>
        <v>66.6666666666667</v>
      </c>
      <c r="J18" s="35" t="n">
        <f aca="false">IFERROR(('Distributor Data'!I10-MIN('Distributor Data'!$I$2:$I$26))/(MAX('Distributor Data'!$I$2:$I$26)-MIN('Distributor Data'!$I$2:$I$26))*100,50)</f>
        <v>22.2222222222222</v>
      </c>
      <c r="K18" s="35" t="n">
        <f aca="false">IFERROR(('Distributor Data'!J10-MIN('Distributor Data'!$J$2:$J$26))/(MAX('Distributor Data'!$J$2:$J$26)-MIN('Distributor Data'!$J$2:$J$26))*100,50)</f>
        <v>25</v>
      </c>
      <c r="L18" s="35" t="n">
        <f aca="false">IFERROR(('Distributor Data'!K10-MIN('Distributor Data'!$K$2:$K$26))/(MAX('Distributor Data'!$K$2:$K$26)-MIN('Distributor Data'!$K$2:$K$26))*100,50)</f>
        <v>25</v>
      </c>
      <c r="M18" s="36" t="str">
        <f aca="false">IF(AND('Distributor Data'!E10&gt;='Strategy Config'!$B$19,'Distributor Data'!F10&gt;='Strategy Config'!$B$20,'Distributor Data'!I10&gt;='Strategy Config'!$B$21),"PASS","FAIL")</f>
        <v>FAIL</v>
      </c>
    </row>
    <row r="19" customFormat="false" ht="15" hidden="false" customHeight="false" outlineLevel="0" collapsed="false">
      <c r="A19" s="37" t="n">
        <f aca="false">IF(M19="PASS",COUNTIFS($M$10:$M$34,"PASS",$E$10:$E$34,"&gt;"&amp;E19)+1,"-")</f>
        <v>8</v>
      </c>
      <c r="B19" s="38" t="str">
        <f aca="false">'Distributor Data'!B11</f>
        <v>North Star Vehicles</v>
      </c>
      <c r="C19" s="39" t="str">
        <f aca="false">'Distributor Data'!C11</f>
        <v>Chandigarh</v>
      </c>
      <c r="D19" s="39" t="str">
        <f aca="false">'Distributor Data'!D11</f>
        <v>Punjab</v>
      </c>
      <c r="E19" s="40" t="n">
        <f aca="false">IFERROR(F19*'Strategy Config'!$F$8/100+G19*'Strategy Config'!$F$9/100+H19*'Strategy Config'!$F$10/100+I19*'Strategy Config'!$F$11/100+J19*'Strategy Config'!$F$12/100+K19*'Strategy Config'!$F$13/100+L19*'Strategy Config'!$F$14/100,0)</f>
        <v>55.1082311408399</v>
      </c>
      <c r="F19" s="41" t="n">
        <f aca="false">IFERROR(('Distributor Data'!E11-MIN('Distributor Data'!$E$2:$E$26))/(MAX('Distributor Data'!$E$2:$E$26)-MIN('Distributor Data'!$E$2:$E$26))*100,50)</f>
        <v>13.0434782608696</v>
      </c>
      <c r="G19" s="41" t="n">
        <f aca="false">IFERROR(('Distributor Data'!F11-MIN('Distributor Data'!$F$2:$F$26))/(MAX('Distributor Data'!$F$2:$F$26)-MIN('Distributor Data'!$F$2:$F$26))*100,50)</f>
        <v>91.6666666666667</v>
      </c>
      <c r="H19" s="41" t="n">
        <f aca="false">IFERROR(('Distributor Data'!G11-MIN('Distributor Data'!$G$2:$G$26))/(MAX('Distributor Data'!$G$2:$G$26)-MIN('Distributor Data'!$G$2:$G$26))*100,50)</f>
        <v>92.3076923076923</v>
      </c>
      <c r="I19" s="41" t="n">
        <f aca="false">IFERROR(('Distributor Data'!H11-MIN('Distributor Data'!$H$2:$H$26))/(MAX('Distributor Data'!$H$2:$H$26)-MIN('Distributor Data'!$H$2:$H$26))*100,50)</f>
        <v>0</v>
      </c>
      <c r="J19" s="41" t="n">
        <f aca="false">IFERROR(('Distributor Data'!I11-MIN('Distributor Data'!$I$2:$I$26))/(MAX('Distributor Data'!$I$2:$I$26)-MIN('Distributor Data'!$I$2:$I$26))*100,50)</f>
        <v>92.5925925925926</v>
      </c>
      <c r="K19" s="41" t="n">
        <f aca="false">IFERROR(('Distributor Data'!J11-MIN('Distributor Data'!$J$2:$J$26))/(MAX('Distributor Data'!$J$2:$J$26)-MIN('Distributor Data'!$J$2:$J$26))*100,50)</f>
        <v>16.6666666666667</v>
      </c>
      <c r="L19" s="41" t="n">
        <f aca="false">IFERROR(('Distributor Data'!K11-MIN('Distributor Data'!$K$2:$K$26))/(MAX('Distributor Data'!$K$2:$K$26)-MIN('Distributor Data'!$K$2:$K$26))*100,50)</f>
        <v>91.6666666666667</v>
      </c>
      <c r="M19" s="42" t="str">
        <f aca="false">IF(AND('Distributor Data'!E11&gt;='Strategy Config'!$B$19,'Distributor Data'!F11&gt;='Strategy Config'!$B$20,'Distributor Data'!I11&gt;='Strategy Config'!$B$21),"PASS","FAIL")</f>
        <v>PASS</v>
      </c>
    </row>
    <row r="20" customFormat="false" ht="15" hidden="false" customHeight="false" outlineLevel="0" collapsed="false">
      <c r="A20" s="31" t="n">
        <f aca="false">IF(M20="PASS",COUNTIFS($M$10:$M$34,"PASS",$E$10:$E$34,"&gt;"&amp;E20)+1,"-")</f>
        <v>13</v>
      </c>
      <c r="B20" s="32" t="str">
        <f aca="false">'Distributor Data'!B12</f>
        <v>Coimbatore Mobility</v>
      </c>
      <c r="C20" s="33" t="str">
        <f aca="false">'Distributor Data'!C12</f>
        <v>Coimbatore</v>
      </c>
      <c r="D20" s="33" t="str">
        <f aca="false">'Distributor Data'!D12</f>
        <v>Tamil Nadu</v>
      </c>
      <c r="E20" s="34" t="n">
        <f aca="false">IFERROR(F20*'Strategy Config'!$F$8/100+G20*'Strategy Config'!$F$9/100+H20*'Strategy Config'!$F$10/100+I20*'Strategy Config'!$F$11/100+J20*'Strategy Config'!$F$12/100+K20*'Strategy Config'!$F$13/100+L20*'Strategy Config'!$F$14/100,0)</f>
        <v>45.2387588257154</v>
      </c>
      <c r="F20" s="35" t="n">
        <f aca="false">IFERROR(('Distributor Data'!E12-MIN('Distributor Data'!$E$2:$E$26))/(MAX('Distributor Data'!$E$2:$E$26)-MIN('Distributor Data'!$E$2:$E$26))*100,50)</f>
        <v>34.7826086956522</v>
      </c>
      <c r="G20" s="35" t="n">
        <f aca="false">IFERROR(('Distributor Data'!F12-MIN('Distributor Data'!$F$2:$F$26))/(MAX('Distributor Data'!$F$2:$F$26)-MIN('Distributor Data'!$F$2:$F$26))*100,50)</f>
        <v>50</v>
      </c>
      <c r="H20" s="35" t="n">
        <f aca="false">IFERROR(('Distributor Data'!G12-MIN('Distributor Data'!$G$2:$G$26))/(MAX('Distributor Data'!$G$2:$G$26)-MIN('Distributor Data'!$G$2:$G$26))*100,50)</f>
        <v>53.8461538461539</v>
      </c>
      <c r="I20" s="35" t="n">
        <f aca="false">IFERROR(('Distributor Data'!H12-MIN('Distributor Data'!$H$2:$H$26))/(MAX('Distributor Data'!$H$2:$H$26)-MIN('Distributor Data'!$H$2:$H$26))*100,50)</f>
        <v>33.3333333333333</v>
      </c>
      <c r="J20" s="35" t="n">
        <f aca="false">IFERROR(('Distributor Data'!I12-MIN('Distributor Data'!$I$2:$I$26))/(MAX('Distributor Data'!$I$2:$I$26)-MIN('Distributor Data'!$I$2:$I$26))*100,50)</f>
        <v>62.962962962963</v>
      </c>
      <c r="K20" s="35" t="n">
        <f aca="false">IFERROR(('Distributor Data'!J12-MIN('Distributor Data'!$J$2:$J$26))/(MAX('Distributor Data'!$J$2:$J$26)-MIN('Distributor Data'!$J$2:$J$26))*100,50)</f>
        <v>33.3333333333333</v>
      </c>
      <c r="L20" s="35" t="n">
        <f aca="false">IFERROR(('Distributor Data'!K12-MIN('Distributor Data'!$K$2:$K$26))/(MAX('Distributor Data'!$K$2:$K$26)-MIN('Distributor Data'!$K$2:$K$26))*100,50)</f>
        <v>50</v>
      </c>
      <c r="M20" s="36" t="str">
        <f aca="false">IF(AND('Distributor Data'!E12&gt;='Strategy Config'!$B$19,'Distributor Data'!F12&gt;='Strategy Config'!$B$20,'Distributor Data'!I12&gt;='Strategy Config'!$B$21),"PASS","FAIL")</f>
        <v>PASS</v>
      </c>
    </row>
    <row r="21" customFormat="false" ht="15" hidden="false" customHeight="false" outlineLevel="0" collapsed="false">
      <c r="A21" s="37" t="str">
        <f aca="false">IF(M21="PASS",COUNTIFS($M$10:$M$34,"PASS",$E$10:$E$34,"&gt;"&amp;E21)+1,"-")</f>
        <v>-</v>
      </c>
      <c r="B21" s="38" t="str">
        <f aca="false">'Distributor Data'!B13</f>
        <v>Lucknow Auto Hub</v>
      </c>
      <c r="C21" s="39" t="str">
        <f aca="false">'Distributor Data'!C13</f>
        <v>Lucknow</v>
      </c>
      <c r="D21" s="39" t="str">
        <f aca="false">'Distributor Data'!D13</f>
        <v>Uttar Pradesh</v>
      </c>
      <c r="E21" s="40" t="n">
        <f aca="false">IFERROR(F21*'Strategy Config'!$F$8/100+G21*'Strategy Config'!$F$9/100+H21*'Strategy Config'!$F$10/100+I21*'Strategy Config'!$F$11/100+J21*'Strategy Config'!$F$12/100+K21*'Strategy Config'!$F$13/100+L21*'Strategy Config'!$F$14/100,0)</f>
        <v>24.4151802303976</v>
      </c>
      <c r="F21" s="41" t="n">
        <f aca="false">IFERROR(('Distributor Data'!E13-MIN('Distributor Data'!$E$2:$E$26))/(MAX('Distributor Data'!$E$2:$E$26)-MIN('Distributor Data'!$E$2:$E$26))*100,50)</f>
        <v>26.0869565217391</v>
      </c>
      <c r="G21" s="41" t="n">
        <f aca="false">IFERROR(('Distributor Data'!F13-MIN('Distributor Data'!$F$2:$F$26))/(MAX('Distributor Data'!$F$2:$F$26)-MIN('Distributor Data'!$F$2:$F$26))*100,50)</f>
        <v>16.6666666666667</v>
      </c>
      <c r="H21" s="41" t="n">
        <f aca="false">IFERROR(('Distributor Data'!G13-MIN('Distributor Data'!$G$2:$G$26))/(MAX('Distributor Data'!$G$2:$G$26)-MIN('Distributor Data'!$G$2:$G$26))*100,50)</f>
        <v>15.3846153846154</v>
      </c>
      <c r="I21" s="41" t="n">
        <f aca="false">IFERROR(('Distributor Data'!H13-MIN('Distributor Data'!$H$2:$H$26))/(MAX('Distributor Data'!$H$2:$H$26)-MIN('Distributor Data'!$H$2:$H$26))*100,50)</f>
        <v>55.5555555555556</v>
      </c>
      <c r="J21" s="41" t="n">
        <f aca="false">IFERROR(('Distributor Data'!I13-MIN('Distributor Data'!$I$2:$I$26))/(MAX('Distributor Data'!$I$2:$I$26)-MIN('Distributor Data'!$I$2:$I$26))*100,50)</f>
        <v>12.962962962963</v>
      </c>
      <c r="K21" s="41" t="n">
        <f aca="false">IFERROR(('Distributor Data'!J13-MIN('Distributor Data'!$J$2:$J$26))/(MAX('Distributor Data'!$J$2:$J$26)-MIN('Distributor Data'!$J$2:$J$26))*100,50)</f>
        <v>25</v>
      </c>
      <c r="L21" s="41" t="n">
        <f aca="false">IFERROR(('Distributor Data'!K13-MIN('Distributor Data'!$K$2:$K$26))/(MAX('Distributor Data'!$K$2:$K$26)-MIN('Distributor Data'!$K$2:$K$26))*100,50)</f>
        <v>16.6666666666667</v>
      </c>
      <c r="M21" s="42" t="str">
        <f aca="false">IF(AND('Distributor Data'!E13&gt;='Strategy Config'!$B$19,'Distributor Data'!F13&gt;='Strategy Config'!$B$20,'Distributor Data'!I13&gt;='Strategy Config'!$B$21),"PASS","FAIL")</f>
        <v>FAIL</v>
      </c>
    </row>
    <row r="22" customFormat="false" ht="15" hidden="false" customHeight="false" outlineLevel="0" collapsed="false">
      <c r="A22" s="31" t="n">
        <f aca="false">IF(M22="PASS",COUNTIFS($M$10:$M$34,"PASS",$E$10:$E$34,"&gt;"&amp;E22)+1,"-")</f>
        <v>16</v>
      </c>
      <c r="B22" s="32" t="str">
        <f aca="false">'Distributor Data'!B14</f>
        <v>Nagpur Drive Centre</v>
      </c>
      <c r="C22" s="33" t="str">
        <f aca="false">'Distributor Data'!C14</f>
        <v>Nagpur</v>
      </c>
      <c r="D22" s="33" t="str">
        <f aca="false">'Distributor Data'!D14</f>
        <v>Maharashtra</v>
      </c>
      <c r="E22" s="34" t="n">
        <f aca="false">IFERROR(F22*'Strategy Config'!$F$8/100+G22*'Strategy Config'!$F$9/100+H22*'Strategy Config'!$F$10/100+I22*'Strategy Config'!$F$11/100+J22*'Strategy Config'!$F$12/100+K22*'Strategy Config'!$F$13/100+L22*'Strategy Config'!$F$14/100,0)</f>
        <v>28.6557041991825</v>
      </c>
      <c r="F22" s="35" t="n">
        <f aca="false">IFERROR(('Distributor Data'!E14-MIN('Distributor Data'!$E$2:$E$26))/(MAX('Distributor Data'!$E$2:$E$26)-MIN('Distributor Data'!$E$2:$E$26))*100,50)</f>
        <v>17.3913043478261</v>
      </c>
      <c r="G22" s="35" t="n">
        <f aca="false">IFERROR(('Distributor Data'!F14-MIN('Distributor Data'!$F$2:$F$26))/(MAX('Distributor Data'!$F$2:$F$26)-MIN('Distributor Data'!$F$2:$F$26))*100,50)</f>
        <v>33.3333333333333</v>
      </c>
      <c r="H22" s="35" t="n">
        <f aca="false">IFERROR(('Distributor Data'!G14-MIN('Distributor Data'!$G$2:$G$26))/(MAX('Distributor Data'!$G$2:$G$26)-MIN('Distributor Data'!$G$2:$G$26))*100,50)</f>
        <v>38.4615384615385</v>
      </c>
      <c r="I22" s="35" t="n">
        <f aca="false">IFERROR(('Distributor Data'!H14-MIN('Distributor Data'!$H$2:$H$26))/(MAX('Distributor Data'!$H$2:$H$26)-MIN('Distributor Data'!$H$2:$H$26))*100,50)</f>
        <v>22.2222222222222</v>
      </c>
      <c r="J22" s="35" t="n">
        <f aca="false">IFERROR(('Distributor Data'!I14-MIN('Distributor Data'!$I$2:$I$26))/(MAX('Distributor Data'!$I$2:$I$26)-MIN('Distributor Data'!$I$2:$I$26))*100,50)</f>
        <v>40.7407407407407</v>
      </c>
      <c r="K22" s="35" t="n">
        <f aca="false">IFERROR(('Distributor Data'!J14-MIN('Distributor Data'!$J$2:$J$26))/(MAX('Distributor Data'!$J$2:$J$26)-MIN('Distributor Data'!$J$2:$J$26))*100,50)</f>
        <v>16.6666666666667</v>
      </c>
      <c r="L22" s="35" t="n">
        <f aca="false">IFERROR(('Distributor Data'!K14-MIN('Distributor Data'!$K$2:$K$26))/(MAX('Distributor Data'!$K$2:$K$26)-MIN('Distributor Data'!$K$2:$K$26))*100,50)</f>
        <v>33.3333333333333</v>
      </c>
      <c r="M22" s="36" t="str">
        <f aca="false">IF(AND('Distributor Data'!E14&gt;='Strategy Config'!$B$19,'Distributor Data'!F14&gt;='Strategy Config'!$B$20,'Distributor Data'!I14&gt;='Strategy Config'!$B$21),"PASS","FAIL")</f>
        <v>PASS</v>
      </c>
    </row>
    <row r="23" customFormat="false" ht="15" hidden="false" customHeight="false" outlineLevel="0" collapsed="false">
      <c r="A23" s="37" t="n">
        <f aca="false">IF(M23="PASS",COUNTIFS($M$10:$M$34,"PASS",$E$10:$E$34,"&gt;"&amp;E23)+1,"-")</f>
        <v>7</v>
      </c>
      <c r="B23" s="38" t="str">
        <f aca="false">'Distributor Data'!B15</f>
        <v>Surat EV Solutions</v>
      </c>
      <c r="C23" s="39" t="str">
        <f aca="false">'Distributor Data'!C15</f>
        <v>Surat</v>
      </c>
      <c r="D23" s="39" t="str">
        <f aca="false">'Distributor Data'!D15</f>
        <v>Gujarat</v>
      </c>
      <c r="E23" s="40" t="n">
        <f aca="false">IFERROR(F23*'Strategy Config'!$F$8/100+G23*'Strategy Config'!$F$9/100+H23*'Strategy Config'!$F$10/100+I23*'Strategy Config'!$F$11/100+J23*'Strategy Config'!$F$12/100+K23*'Strategy Config'!$F$13/100+L23*'Strategy Config'!$F$14/100,0)</f>
        <v>55.7783351913787</v>
      </c>
      <c r="F23" s="41" t="n">
        <f aca="false">IFERROR(('Distributor Data'!E15-MIN('Distributor Data'!$E$2:$E$26))/(MAX('Distributor Data'!$E$2:$E$26)-MIN('Distributor Data'!$E$2:$E$26))*100,50)</f>
        <v>45.2173913043478</v>
      </c>
      <c r="G23" s="41" t="n">
        <f aca="false">IFERROR(('Distributor Data'!F15-MIN('Distributor Data'!$F$2:$F$26))/(MAX('Distributor Data'!$F$2:$F$26)-MIN('Distributor Data'!$F$2:$F$26))*100,50)</f>
        <v>58.3333333333333</v>
      </c>
      <c r="H23" s="41" t="n">
        <f aca="false">IFERROR(('Distributor Data'!G15-MIN('Distributor Data'!$G$2:$G$26))/(MAX('Distributor Data'!$G$2:$G$26)-MIN('Distributor Data'!$G$2:$G$26))*100,50)</f>
        <v>69.2307692307692</v>
      </c>
      <c r="I23" s="41" t="n">
        <f aca="false">IFERROR(('Distributor Data'!H15-MIN('Distributor Data'!$H$2:$H$26))/(MAX('Distributor Data'!$H$2:$H$26)-MIN('Distributor Data'!$H$2:$H$26))*100,50)</f>
        <v>44.4444444444444</v>
      </c>
      <c r="J23" s="41" t="n">
        <f aca="false">IFERROR(('Distributor Data'!I15-MIN('Distributor Data'!$I$2:$I$26))/(MAX('Distributor Data'!$I$2:$I$26)-MIN('Distributor Data'!$I$2:$I$26))*100,50)</f>
        <v>74.0740740740741</v>
      </c>
      <c r="K23" s="41" t="n">
        <f aca="false">IFERROR(('Distributor Data'!J15-MIN('Distributor Data'!$J$2:$J$26))/(MAX('Distributor Data'!$J$2:$J$26)-MIN('Distributor Data'!$J$2:$J$26))*100,50)</f>
        <v>41.6666666666667</v>
      </c>
      <c r="L23" s="41" t="n">
        <f aca="false">IFERROR(('Distributor Data'!K15-MIN('Distributor Data'!$K$2:$K$26))/(MAX('Distributor Data'!$K$2:$K$26)-MIN('Distributor Data'!$K$2:$K$26))*100,50)</f>
        <v>58.3333333333333</v>
      </c>
      <c r="M23" s="42" t="str">
        <f aca="false">IF(AND('Distributor Data'!E15&gt;='Strategy Config'!$B$19,'Distributor Data'!F15&gt;='Strategy Config'!$B$20,'Distributor Data'!I15&gt;='Strategy Config'!$B$21),"PASS","FAIL")</f>
        <v>PASS</v>
      </c>
    </row>
    <row r="24" customFormat="false" ht="15" hidden="false" customHeight="false" outlineLevel="0" collapsed="false">
      <c r="A24" s="31" t="n">
        <f aca="false">IF(M24="PASS",COUNTIFS($M$10:$M$34,"PASS",$E$10:$E$34,"&gt;"&amp;E24)+1,"-")</f>
        <v>5</v>
      </c>
      <c r="B24" s="32" t="str">
        <f aca="false">'Distributor Data'!B16</f>
        <v>Kochi Green Motors</v>
      </c>
      <c r="C24" s="33" t="str">
        <f aca="false">'Distributor Data'!C16</f>
        <v>Kochi</v>
      </c>
      <c r="D24" s="33" t="str">
        <f aca="false">'Distributor Data'!D16</f>
        <v>Kerala</v>
      </c>
      <c r="E24" s="34" t="n">
        <f aca="false">IFERROR(F24*'Strategy Config'!$F$8/100+G24*'Strategy Config'!$F$9/100+H24*'Strategy Config'!$F$10/100+I24*'Strategy Config'!$F$11/100+J24*'Strategy Config'!$F$12/100+K24*'Strategy Config'!$F$13/100+L24*'Strategy Config'!$F$14/100,0)</f>
        <v>60.554347826087</v>
      </c>
      <c r="F24" s="35" t="n">
        <f aca="false">IFERROR(('Distributor Data'!E16-MIN('Distributor Data'!$E$2:$E$26))/(MAX('Distributor Data'!$E$2:$E$26)-MIN('Distributor Data'!$E$2:$E$26))*100,50)</f>
        <v>28.695652173913</v>
      </c>
      <c r="G24" s="35" t="n">
        <f aca="false">IFERROR(('Distributor Data'!F16-MIN('Distributor Data'!$F$2:$F$26))/(MAX('Distributor Data'!$F$2:$F$26)-MIN('Distributor Data'!$F$2:$F$26))*100,50)</f>
        <v>83.3333333333333</v>
      </c>
      <c r="H24" s="35" t="n">
        <f aca="false">IFERROR(('Distributor Data'!G16-MIN('Distributor Data'!$G$2:$G$26))/(MAX('Distributor Data'!$G$2:$G$26)-MIN('Distributor Data'!$G$2:$G$26))*100,50)</f>
        <v>100</v>
      </c>
      <c r="I24" s="35" t="n">
        <f aca="false">IFERROR(('Distributor Data'!H16-MIN('Distributor Data'!$H$2:$H$26))/(MAX('Distributor Data'!$H$2:$H$26)-MIN('Distributor Data'!$H$2:$H$26))*100,50)</f>
        <v>11.1111111111111</v>
      </c>
      <c r="J24" s="35" t="n">
        <f aca="false">IFERROR(('Distributor Data'!I16-MIN('Distributor Data'!$I$2:$I$26))/(MAX('Distributor Data'!$I$2:$I$26)-MIN('Distributor Data'!$I$2:$I$26))*100,50)</f>
        <v>100</v>
      </c>
      <c r="K24" s="35" t="n">
        <f aca="false">IFERROR(('Distributor Data'!J16-MIN('Distributor Data'!$J$2:$J$26))/(MAX('Distributor Data'!$J$2:$J$26)-MIN('Distributor Data'!$J$2:$J$26))*100,50)</f>
        <v>25</v>
      </c>
      <c r="L24" s="35" t="n">
        <f aca="false">IFERROR(('Distributor Data'!K16-MIN('Distributor Data'!$K$2:$K$26))/(MAX('Distributor Data'!$K$2:$K$26)-MIN('Distributor Data'!$K$2:$K$26))*100,50)</f>
        <v>83.3333333333333</v>
      </c>
      <c r="M24" s="36" t="str">
        <f aca="false">IF(AND('Distributor Data'!E16&gt;='Strategy Config'!$B$19,'Distributor Data'!F16&gt;='Strategy Config'!$B$20,'Distributor Data'!I16&gt;='Strategy Config'!$B$21),"PASS","FAIL")</f>
        <v>PASS</v>
      </c>
    </row>
    <row r="25" customFormat="false" ht="15" hidden="false" customHeight="false" outlineLevel="0" collapsed="false">
      <c r="A25" s="37" t="n">
        <f aca="false">IF(M25="PASS",COUNTIFS($M$10:$M$34,"PASS",$E$10:$E$34,"&gt;"&amp;E25)+1,"-")</f>
        <v>15</v>
      </c>
      <c r="B25" s="38" t="str">
        <f aca="false">'Distributor Data'!B17</f>
        <v>Indore Mobility Hub</v>
      </c>
      <c r="C25" s="39" t="str">
        <f aca="false">'Distributor Data'!C17</f>
        <v>Indore</v>
      </c>
      <c r="D25" s="39" t="str">
        <f aca="false">'Distributor Data'!D17</f>
        <v>Madhya Pradesh</v>
      </c>
      <c r="E25" s="40" t="n">
        <f aca="false">IFERROR(F25*'Strategy Config'!$F$8/100+G25*'Strategy Config'!$F$9/100+H25*'Strategy Config'!$F$10/100+I25*'Strategy Config'!$F$11/100+J25*'Strategy Config'!$F$12/100+K25*'Strategy Config'!$F$13/100+L25*'Strategy Config'!$F$14/100,0)</f>
        <v>39.6658305462653</v>
      </c>
      <c r="F25" s="41" t="n">
        <f aca="false">IFERROR(('Distributor Data'!E17-MIN('Distributor Data'!$E$2:$E$26))/(MAX('Distributor Data'!$E$2:$E$26)-MIN('Distributor Data'!$E$2:$E$26))*100,50)</f>
        <v>32.1739130434783</v>
      </c>
      <c r="G25" s="41" t="n">
        <f aca="false">IFERROR(('Distributor Data'!F17-MIN('Distributor Data'!$F$2:$F$26))/(MAX('Distributor Data'!$F$2:$F$26)-MIN('Distributor Data'!$F$2:$F$26))*100,50)</f>
        <v>41.6666666666666</v>
      </c>
      <c r="H25" s="41" t="n">
        <f aca="false">IFERROR(('Distributor Data'!G17-MIN('Distributor Data'!$G$2:$G$26))/(MAX('Distributor Data'!$G$2:$G$26)-MIN('Distributor Data'!$G$2:$G$26))*100,50)</f>
        <v>46.1538461538462</v>
      </c>
      <c r="I25" s="41" t="n">
        <f aca="false">IFERROR(('Distributor Data'!H17-MIN('Distributor Data'!$H$2:$H$26))/(MAX('Distributor Data'!$H$2:$H$26)-MIN('Distributor Data'!$H$2:$H$26))*100,50)</f>
        <v>33.3333333333333</v>
      </c>
      <c r="J25" s="41" t="n">
        <f aca="false">IFERROR(('Distributor Data'!I17-MIN('Distributor Data'!$I$2:$I$26))/(MAX('Distributor Data'!$I$2:$I$26)-MIN('Distributor Data'!$I$2:$I$26))*100,50)</f>
        <v>50</v>
      </c>
      <c r="K25" s="41" t="n">
        <f aca="false">IFERROR(('Distributor Data'!J17-MIN('Distributor Data'!$J$2:$J$26))/(MAX('Distributor Data'!$J$2:$J$26)-MIN('Distributor Data'!$J$2:$J$26))*100,50)</f>
        <v>33.3333333333333</v>
      </c>
      <c r="L25" s="41" t="n">
        <f aca="false">IFERROR(('Distributor Data'!K17-MIN('Distributor Data'!$K$2:$K$26))/(MAX('Distributor Data'!$K$2:$K$26)-MIN('Distributor Data'!$K$2:$K$26))*100,50)</f>
        <v>41.6666666666666</v>
      </c>
      <c r="M25" s="42" t="str">
        <f aca="false">IF(AND('Distributor Data'!E17&gt;='Strategy Config'!$B$19,'Distributor Data'!F17&gt;='Strategy Config'!$B$20,'Distributor Data'!I17&gt;='Strategy Config'!$B$21),"PASS","FAIL")</f>
        <v>PASS</v>
      </c>
    </row>
    <row r="26" customFormat="false" ht="15" hidden="false" customHeight="false" outlineLevel="0" collapsed="false">
      <c r="A26" s="31" t="str">
        <f aca="false">IF(M26="PASS",COUNTIFS($M$10:$M$34,"PASS",$E$10:$E$34,"&gt;"&amp;E26)+1,"-")</f>
        <v>-</v>
      </c>
      <c r="B26" s="32" t="str">
        <f aca="false">'Distributor Data'!B18</f>
        <v>Bhopal Auto World</v>
      </c>
      <c r="C26" s="33" t="str">
        <f aca="false">'Distributor Data'!C18</f>
        <v>Bhopal</v>
      </c>
      <c r="D26" s="33" t="str">
        <f aca="false">'Distributor Data'!D18</f>
        <v>Madhya Pradesh</v>
      </c>
      <c r="E26" s="34" t="n">
        <f aca="false">IFERROR(F26*'Strategy Config'!$F$8/100+G26*'Strategy Config'!$F$9/100+H26*'Strategy Config'!$F$10/100+I26*'Strategy Config'!$F$11/100+J26*'Strategy Config'!$F$12/100+K26*'Strategy Config'!$F$13/100+L26*'Strategy Config'!$F$14/100,0)</f>
        <v>19.8482905982906</v>
      </c>
      <c r="F26" s="35" t="n">
        <f aca="false">IFERROR(('Distributor Data'!E18-MIN('Distributor Data'!$E$2:$E$26))/(MAX('Distributor Data'!$E$2:$E$26)-MIN('Distributor Data'!$E$2:$E$26))*100,50)</f>
        <v>20</v>
      </c>
      <c r="G26" s="35" t="n">
        <f aca="false">IFERROR(('Distributor Data'!F18-MIN('Distributor Data'!$F$2:$F$26))/(MAX('Distributor Data'!$F$2:$F$26)-MIN('Distributor Data'!$F$2:$F$26))*100,50)</f>
        <v>8.33333333333334</v>
      </c>
      <c r="H26" s="35" t="n">
        <f aca="false">IFERROR(('Distributor Data'!G18-MIN('Distributor Data'!$G$2:$G$26))/(MAX('Distributor Data'!$G$2:$G$26)-MIN('Distributor Data'!$G$2:$G$26))*100,50)</f>
        <v>7.69230769230769</v>
      </c>
      <c r="I26" s="35" t="n">
        <f aca="false">IFERROR(('Distributor Data'!H18-MIN('Distributor Data'!$H$2:$H$26))/(MAX('Distributor Data'!$H$2:$H$26)-MIN('Distributor Data'!$H$2:$H$26))*100,50)</f>
        <v>66.6666666666667</v>
      </c>
      <c r="J26" s="35" t="n">
        <f aca="false">IFERROR(('Distributor Data'!I18-MIN('Distributor Data'!$I$2:$I$26))/(MAX('Distributor Data'!$I$2:$I$26)-MIN('Distributor Data'!$I$2:$I$26))*100,50)</f>
        <v>7.40740740740741</v>
      </c>
      <c r="K26" s="35" t="n">
        <f aca="false">IFERROR(('Distributor Data'!J18-MIN('Distributor Data'!$J$2:$J$26))/(MAX('Distributor Data'!$J$2:$J$26)-MIN('Distributor Data'!$J$2:$J$26))*100,50)</f>
        <v>16.6666666666667</v>
      </c>
      <c r="L26" s="35" t="n">
        <f aca="false">IFERROR(('Distributor Data'!K18-MIN('Distributor Data'!$K$2:$K$26))/(MAX('Distributor Data'!$K$2:$K$26)-MIN('Distributor Data'!$K$2:$K$26))*100,50)</f>
        <v>8.33333333333334</v>
      </c>
      <c r="M26" s="36" t="str">
        <f aca="false">IF(AND('Distributor Data'!E18&gt;='Strategy Config'!$B$19,'Distributor Data'!F18&gt;='Strategy Config'!$B$20,'Distributor Data'!I18&gt;='Strategy Config'!$B$21),"PASS","FAIL")</f>
        <v>FAIL</v>
      </c>
    </row>
    <row r="27" customFormat="false" ht="15" hidden="false" customHeight="false" outlineLevel="0" collapsed="false">
      <c r="A27" s="37" t="n">
        <f aca="false">IF(M27="PASS",COUNTIFS($M$10:$M$34,"PASS",$E$10:$E$34,"&gt;"&amp;E27)+1,"-")</f>
        <v>12</v>
      </c>
      <c r="B27" s="38" t="str">
        <f aca="false">'Distributor Data'!B19</f>
        <v>Visakha EV Center</v>
      </c>
      <c r="C27" s="39" t="str">
        <f aca="false">'Distributor Data'!C19</f>
        <v>Visakhapatnam</v>
      </c>
      <c r="D27" s="39" t="str">
        <f aca="false">'Distributor Data'!D19</f>
        <v>Andhra Pradesh</v>
      </c>
      <c r="E27" s="40" t="n">
        <f aca="false">IFERROR(F27*'Strategy Config'!$F$8/100+G27*'Strategy Config'!$F$9/100+H27*'Strategy Config'!$F$10/100+I27*'Strategy Config'!$F$11/100+J27*'Strategy Config'!$F$12/100+K27*'Strategy Config'!$F$13/100+L27*'Strategy Config'!$F$14/100,0)</f>
        <v>47.4276291341509</v>
      </c>
      <c r="F27" s="41" t="n">
        <f aca="false">IFERROR(('Distributor Data'!E19-MIN('Distributor Data'!$E$2:$E$26))/(MAX('Distributor Data'!$E$2:$E$26)-MIN('Distributor Data'!$E$2:$E$26))*100,50)</f>
        <v>42.6086956521739</v>
      </c>
      <c r="G27" s="41" t="n">
        <f aca="false">IFERROR(('Distributor Data'!F19-MIN('Distributor Data'!$F$2:$F$26))/(MAX('Distributor Data'!$F$2:$F$26)-MIN('Distributor Data'!$F$2:$F$26))*100,50)</f>
        <v>50</v>
      </c>
      <c r="H27" s="41" t="n">
        <f aca="false">IFERROR(('Distributor Data'!G19-MIN('Distributor Data'!$G$2:$G$26))/(MAX('Distributor Data'!$G$2:$G$26)-MIN('Distributor Data'!$G$2:$G$26))*100,50)</f>
        <v>61.5384615384615</v>
      </c>
      <c r="I27" s="41" t="n">
        <f aca="false">IFERROR(('Distributor Data'!H19-MIN('Distributor Data'!$H$2:$H$26))/(MAX('Distributor Data'!$H$2:$H$26)-MIN('Distributor Data'!$H$2:$H$26))*100,50)</f>
        <v>22.2222222222222</v>
      </c>
      <c r="J27" s="41" t="n">
        <f aca="false">IFERROR(('Distributor Data'!I19-MIN('Distributor Data'!$I$2:$I$26))/(MAX('Distributor Data'!$I$2:$I$26)-MIN('Distributor Data'!$I$2:$I$26))*100,50)</f>
        <v>64.8148148148148</v>
      </c>
      <c r="K27" s="41" t="n">
        <f aca="false">IFERROR(('Distributor Data'!J19-MIN('Distributor Data'!$J$2:$J$26))/(MAX('Distributor Data'!$J$2:$J$26)-MIN('Distributor Data'!$J$2:$J$26))*100,50)</f>
        <v>41.6666666666667</v>
      </c>
      <c r="L27" s="41" t="n">
        <f aca="false">IFERROR(('Distributor Data'!K19-MIN('Distributor Data'!$K$2:$K$26))/(MAX('Distributor Data'!$K$2:$K$26)-MIN('Distributor Data'!$K$2:$K$26))*100,50)</f>
        <v>50</v>
      </c>
      <c r="M27" s="42" t="str">
        <f aca="false">IF(AND('Distributor Data'!E19&gt;='Strategy Config'!$B$19,'Distributor Data'!F19&gt;='Strategy Config'!$B$20,'Distributor Data'!I19&gt;='Strategy Config'!$B$21),"PASS","FAIL")</f>
        <v>PASS</v>
      </c>
    </row>
    <row r="28" customFormat="false" ht="15" hidden="false" customHeight="false" outlineLevel="0" collapsed="false">
      <c r="A28" s="31" t="n">
        <f aca="false">IF(M28="PASS",COUNTIFS($M$10:$M$34,"PASS",$E$10:$E$34,"&gt;"&amp;E28)+1,"-")</f>
        <v>14</v>
      </c>
      <c r="B28" s="32" t="str">
        <f aca="false">'Distributor Data'!B20</f>
        <v>Vadodara Vehicles</v>
      </c>
      <c r="C28" s="33" t="str">
        <f aca="false">'Distributor Data'!C20</f>
        <v>Vadodara</v>
      </c>
      <c r="D28" s="33" t="str">
        <f aca="false">'Distributor Data'!D20</f>
        <v>Gujarat</v>
      </c>
      <c r="E28" s="34" t="n">
        <f aca="false">IFERROR(F28*'Strategy Config'!$F$8/100+G28*'Strategy Config'!$F$9/100+H28*'Strategy Config'!$F$10/100+I28*'Strategy Config'!$F$11/100+J28*'Strategy Config'!$F$12/100+K28*'Strategy Config'!$F$13/100+L28*'Strategy Config'!$F$14/100,0)</f>
        <v>44.0373467112598</v>
      </c>
      <c r="F28" s="35" t="n">
        <f aca="false">IFERROR(('Distributor Data'!E20-MIN('Distributor Data'!$E$2:$E$26))/(MAX('Distributor Data'!$E$2:$E$26)-MIN('Distributor Data'!$E$2:$E$26))*100,50)</f>
        <v>49.5652173913044</v>
      </c>
      <c r="G28" s="35" t="n">
        <f aca="false">IFERROR(('Distributor Data'!F20-MIN('Distributor Data'!$F$2:$F$26))/(MAX('Distributor Data'!$F$2:$F$26)-MIN('Distributor Data'!$F$2:$F$26))*100,50)</f>
        <v>33.3333333333333</v>
      </c>
      <c r="H28" s="35" t="n">
        <f aca="false">IFERROR(('Distributor Data'!G20-MIN('Distributor Data'!$G$2:$G$26))/(MAX('Distributor Data'!$G$2:$G$26)-MIN('Distributor Data'!$G$2:$G$26))*100,50)</f>
        <v>38.4615384615385</v>
      </c>
      <c r="I28" s="35" t="n">
        <f aca="false">IFERROR(('Distributor Data'!H20-MIN('Distributor Data'!$H$2:$H$26))/(MAX('Distributor Data'!$H$2:$H$26)-MIN('Distributor Data'!$H$2:$H$26))*100,50)</f>
        <v>55.5555555555556</v>
      </c>
      <c r="J28" s="35" t="n">
        <f aca="false">IFERROR(('Distributor Data'!I20-MIN('Distributor Data'!$I$2:$I$26))/(MAX('Distributor Data'!$I$2:$I$26)-MIN('Distributor Data'!$I$2:$I$26))*100,50)</f>
        <v>44.4444444444444</v>
      </c>
      <c r="K28" s="35" t="n">
        <f aca="false">IFERROR(('Distributor Data'!J20-MIN('Distributor Data'!$J$2:$J$26))/(MAX('Distributor Data'!$J$2:$J$26)-MIN('Distributor Data'!$J$2:$J$26))*100,50)</f>
        <v>50</v>
      </c>
      <c r="L28" s="35" t="n">
        <f aca="false">IFERROR(('Distributor Data'!K20-MIN('Distributor Data'!$K$2:$K$26))/(MAX('Distributor Data'!$K$2:$K$26)-MIN('Distributor Data'!$K$2:$K$26))*100,50)</f>
        <v>33.3333333333333</v>
      </c>
      <c r="M28" s="36" t="str">
        <f aca="false">IF(AND('Distributor Data'!E20&gt;='Strategy Config'!$B$19,'Distributor Data'!F20&gt;='Strategy Config'!$B$20,'Distributor Data'!I20&gt;='Strategy Config'!$B$21),"PASS","FAIL")</f>
        <v>PASS</v>
      </c>
    </row>
    <row r="29" customFormat="false" ht="15" hidden="false" customHeight="false" outlineLevel="0" collapsed="false">
      <c r="A29" s="37" t="str">
        <f aca="false">IF(M29="PASS",COUNTIFS($M$10:$M$34,"PASS",$E$10:$E$34,"&gt;"&amp;E29)+1,"-")</f>
        <v>-</v>
      </c>
      <c r="B29" s="38" t="str">
        <f aca="false">'Distributor Data'!B21</f>
        <v>Mysore Mobility</v>
      </c>
      <c r="C29" s="39" t="str">
        <f aca="false">'Distributor Data'!C21</f>
        <v>Mysore</v>
      </c>
      <c r="D29" s="39" t="str">
        <f aca="false">'Distributor Data'!D21</f>
        <v>Karnataka</v>
      </c>
      <c r="E29" s="40" t="n">
        <f aca="false">IFERROR(F29*'Strategy Config'!$F$8/100+G29*'Strategy Config'!$F$9/100+H29*'Strategy Config'!$F$10/100+I29*'Strategy Config'!$F$11/100+J29*'Strategy Config'!$F$12/100+K29*'Strategy Config'!$F$13/100+L29*'Strategy Config'!$F$14/100,0)</f>
        <v>47.4604236343367</v>
      </c>
      <c r="F29" s="41" t="n">
        <f aca="false">IFERROR(('Distributor Data'!E21-MIN('Distributor Data'!$E$2:$E$26))/(MAX('Distributor Data'!$E$2:$E$26)-MIN('Distributor Data'!$E$2:$E$26))*100,50)</f>
        <v>9.56521739130435</v>
      </c>
      <c r="G29" s="41" t="n">
        <f aca="false">IFERROR(('Distributor Data'!F21-MIN('Distributor Data'!$F$2:$F$26))/(MAX('Distributor Data'!$F$2:$F$26)-MIN('Distributor Data'!$F$2:$F$26))*100,50)</f>
        <v>75</v>
      </c>
      <c r="H29" s="41" t="n">
        <f aca="false">IFERROR(('Distributor Data'!G21-MIN('Distributor Data'!$G$2:$G$26))/(MAX('Distributor Data'!$G$2:$G$26)-MIN('Distributor Data'!$G$2:$G$26))*100,50)</f>
        <v>84.6153846153846</v>
      </c>
      <c r="I29" s="41" t="n">
        <f aca="false">IFERROR(('Distributor Data'!H21-MIN('Distributor Data'!$H$2:$H$26))/(MAX('Distributor Data'!$H$2:$H$26)-MIN('Distributor Data'!$H$2:$H$26))*100,50)</f>
        <v>0</v>
      </c>
      <c r="J29" s="41" t="n">
        <f aca="false">IFERROR(('Distributor Data'!I21-MIN('Distributor Data'!$I$2:$I$26))/(MAX('Distributor Data'!$I$2:$I$26)-MIN('Distributor Data'!$I$2:$I$26))*100,50)</f>
        <v>88.8888888888889</v>
      </c>
      <c r="K29" s="41" t="n">
        <f aca="false">IFERROR(('Distributor Data'!J21-MIN('Distributor Data'!$J$2:$J$26))/(MAX('Distributor Data'!$J$2:$J$26)-MIN('Distributor Data'!$J$2:$J$26))*100,50)</f>
        <v>8.33333333333333</v>
      </c>
      <c r="L29" s="41" t="n">
        <f aca="false">IFERROR(('Distributor Data'!K21-MIN('Distributor Data'!$K$2:$K$26))/(MAX('Distributor Data'!$K$2:$K$26)-MIN('Distributor Data'!$K$2:$K$26))*100,50)</f>
        <v>75</v>
      </c>
      <c r="M29" s="42" t="str">
        <f aca="false">IF(AND('Distributor Data'!E21&gt;='Strategy Config'!$B$19,'Distributor Data'!F21&gt;='Strategy Config'!$B$20,'Distributor Data'!I21&gt;='Strategy Config'!$B$21),"PASS","FAIL")</f>
        <v>FAIL</v>
      </c>
    </row>
    <row r="30" customFormat="false" ht="15" hidden="false" customHeight="false" outlineLevel="0" collapsed="false">
      <c r="A30" s="31" t="str">
        <f aca="false">IF(M30="PASS",COUNTIFS($M$10:$M$34,"PASS",$E$10:$E$34,"&gt;"&amp;E30)+1,"-")</f>
        <v>-</v>
      </c>
      <c r="B30" s="32" t="str">
        <f aca="false">'Distributor Data'!B22</f>
        <v>Patna Auto Network</v>
      </c>
      <c r="C30" s="33" t="str">
        <f aca="false">'Distributor Data'!C22</f>
        <v>Patna</v>
      </c>
      <c r="D30" s="33" t="str">
        <f aca="false">'Distributor Data'!D22</f>
        <v>Bihar</v>
      </c>
      <c r="E30" s="34" t="n">
        <f aca="false">IFERROR(F30*'Strategy Config'!$F$8/100+G30*'Strategy Config'!$F$9/100+H30*'Strategy Config'!$F$10/100+I30*'Strategy Config'!$F$11/100+J30*'Strategy Config'!$F$12/100+K30*'Strategy Config'!$F$13/100+L30*'Strategy Config'!$F$14/100,0)</f>
        <v>8.56884057971015</v>
      </c>
      <c r="F30" s="35" t="n">
        <f aca="false">IFERROR(('Distributor Data'!E22-MIN('Distributor Data'!$E$2:$E$26))/(MAX('Distributor Data'!$E$2:$E$26)-MIN('Distributor Data'!$E$2:$E$26))*100,50)</f>
        <v>4.34782608695652</v>
      </c>
      <c r="G30" s="35" t="n">
        <f aca="false">IFERROR(('Distributor Data'!F22-MIN('Distributor Data'!$F$2:$F$26))/(MAX('Distributor Data'!$F$2:$F$26)-MIN('Distributor Data'!$F$2:$F$26))*100,50)</f>
        <v>0</v>
      </c>
      <c r="H30" s="35" t="n">
        <f aca="false">IFERROR(('Distributor Data'!G22-MIN('Distributor Data'!$G$2:$G$26))/(MAX('Distributor Data'!$G$2:$G$26)-MIN('Distributor Data'!$G$2:$G$26))*100,50)</f>
        <v>0</v>
      </c>
      <c r="I30" s="35" t="n">
        <f aca="false">IFERROR(('Distributor Data'!H22-MIN('Distributor Data'!$H$2:$H$26))/(MAX('Distributor Data'!$H$2:$H$26)-MIN('Distributor Data'!$H$2:$H$26))*100,50)</f>
        <v>44.4444444444444</v>
      </c>
      <c r="J30" s="35" t="n">
        <f aca="false">IFERROR(('Distributor Data'!I22-MIN('Distributor Data'!$I$2:$I$26))/(MAX('Distributor Data'!$I$2:$I$26)-MIN('Distributor Data'!$I$2:$I$26))*100,50)</f>
        <v>0</v>
      </c>
      <c r="K30" s="35" t="n">
        <f aca="false">IFERROR(('Distributor Data'!J22-MIN('Distributor Data'!$J$2:$J$26))/(MAX('Distributor Data'!$J$2:$J$26)-MIN('Distributor Data'!$J$2:$J$26))*100,50)</f>
        <v>8.33333333333333</v>
      </c>
      <c r="L30" s="35" t="n">
        <f aca="false">IFERROR(('Distributor Data'!K22-MIN('Distributor Data'!$K$2:$K$26))/(MAX('Distributor Data'!$K$2:$K$26)-MIN('Distributor Data'!$K$2:$K$26))*100,50)</f>
        <v>0</v>
      </c>
      <c r="M30" s="36" t="str">
        <f aca="false">IF(AND('Distributor Data'!E22&gt;='Strategy Config'!$B$19,'Distributor Data'!F22&gt;='Strategy Config'!$B$20,'Distributor Data'!I22&gt;='Strategy Config'!$B$21),"PASS","FAIL")</f>
        <v>FAIL</v>
      </c>
    </row>
    <row r="31" customFormat="false" ht="15" hidden="false" customHeight="false" outlineLevel="0" collapsed="false">
      <c r="A31" s="37" t="str">
        <f aca="false">IF(M31="PASS",COUNTIFS($M$10:$M$34,"PASS",$E$10:$E$34,"&gt;"&amp;E31)+1,"-")</f>
        <v>-</v>
      </c>
      <c r="B31" s="38" t="str">
        <f aca="false">'Distributor Data'!B23</f>
        <v>Bhubaneswar Motors</v>
      </c>
      <c r="C31" s="39" t="str">
        <f aca="false">'Distributor Data'!C23</f>
        <v>Bhubaneswar</v>
      </c>
      <c r="D31" s="39" t="str">
        <f aca="false">'Distributor Data'!D23</f>
        <v>Odisha</v>
      </c>
      <c r="E31" s="40" t="n">
        <f aca="false">IFERROR(F31*'Strategy Config'!$F$8/100+G31*'Strategy Config'!$F$9/100+H31*'Strategy Config'!$F$10/100+I31*'Strategy Config'!$F$11/100+J31*'Strategy Config'!$F$12/100+K31*'Strategy Config'!$F$13/100+L31*'Strategy Config'!$F$14/100,0)</f>
        <v>23.638331475288</v>
      </c>
      <c r="F31" s="41" t="n">
        <f aca="false">IFERROR(('Distributor Data'!E23-MIN('Distributor Data'!$E$2:$E$26))/(MAX('Distributor Data'!$E$2:$E$26)-MIN('Distributor Data'!$E$2:$E$26))*100,50)</f>
        <v>14.7826086956522</v>
      </c>
      <c r="G31" s="41" t="n">
        <f aca="false">IFERROR(('Distributor Data'!F23-MIN('Distributor Data'!$F$2:$F$26))/(MAX('Distributor Data'!$F$2:$F$26)-MIN('Distributor Data'!$F$2:$F$26))*100,50)</f>
        <v>25</v>
      </c>
      <c r="H31" s="41" t="n">
        <f aca="false">IFERROR(('Distributor Data'!G23-MIN('Distributor Data'!$G$2:$G$26))/(MAX('Distributor Data'!$G$2:$G$26)-MIN('Distributor Data'!$G$2:$G$26))*100,50)</f>
        <v>30.7692307692308</v>
      </c>
      <c r="I31" s="41" t="n">
        <f aca="false">IFERROR(('Distributor Data'!H23-MIN('Distributor Data'!$H$2:$H$26))/(MAX('Distributor Data'!$H$2:$H$26)-MIN('Distributor Data'!$H$2:$H$26))*100,50)</f>
        <v>22.2222222222222</v>
      </c>
      <c r="J31" s="41" t="n">
        <f aca="false">IFERROR(('Distributor Data'!I23-MIN('Distributor Data'!$I$2:$I$26))/(MAX('Distributor Data'!$I$2:$I$26)-MIN('Distributor Data'!$I$2:$I$26))*100,50)</f>
        <v>31.4814814814815</v>
      </c>
      <c r="K31" s="41" t="n">
        <f aca="false">IFERROR(('Distributor Data'!J23-MIN('Distributor Data'!$J$2:$J$26))/(MAX('Distributor Data'!$J$2:$J$26)-MIN('Distributor Data'!$J$2:$J$26))*100,50)</f>
        <v>16.6666666666667</v>
      </c>
      <c r="L31" s="41" t="n">
        <f aca="false">IFERROR(('Distributor Data'!K23-MIN('Distributor Data'!$K$2:$K$26))/(MAX('Distributor Data'!$K$2:$K$26)-MIN('Distributor Data'!$K$2:$K$26))*100,50)</f>
        <v>25</v>
      </c>
      <c r="M31" s="42" t="str">
        <f aca="false">IF(AND('Distributor Data'!E23&gt;='Strategy Config'!$B$19,'Distributor Data'!F23&gt;='Strategy Config'!$B$20,'Distributor Data'!I23&gt;='Strategy Config'!$B$21),"PASS","FAIL")</f>
        <v>FAIL</v>
      </c>
    </row>
    <row r="32" customFormat="false" ht="15" hidden="false" customHeight="false" outlineLevel="0" collapsed="false">
      <c r="A32" s="31" t="str">
        <f aca="false">IF(M32="PASS",COUNTIFS($M$10:$M$34,"PASS",$E$10:$E$34,"&gt;"&amp;E32)+1,"-")</f>
        <v>-</v>
      </c>
      <c r="B32" s="32" t="str">
        <f aca="false">'Distributor Data'!B24</f>
        <v>Dehradun EV Hub</v>
      </c>
      <c r="C32" s="33" t="str">
        <f aca="false">'Distributor Data'!C24</f>
        <v>Dehradun</v>
      </c>
      <c r="D32" s="33" t="str">
        <f aca="false">'Distributor Data'!D24</f>
        <v>Uttarakhand</v>
      </c>
      <c r="E32" s="34" t="n">
        <f aca="false">IFERROR(F32*'Strategy Config'!$F$8/100+G32*'Strategy Config'!$F$9/100+H32*'Strategy Config'!$F$10/100+I32*'Strategy Config'!$F$11/100+J32*'Strategy Config'!$F$12/100+K32*'Strategy Config'!$F$13/100+L32*'Strategy Config'!$F$14/100,0)</f>
        <v>37.581475287997</v>
      </c>
      <c r="F32" s="35" t="n">
        <f aca="false">IFERROR(('Distributor Data'!E24-MIN('Distributor Data'!$E$2:$E$26))/(MAX('Distributor Data'!$E$2:$E$26)-MIN('Distributor Data'!$E$2:$E$26))*100,50)</f>
        <v>2.60869565217391</v>
      </c>
      <c r="G32" s="35" t="n">
        <f aca="false">IFERROR(('Distributor Data'!F24-MIN('Distributor Data'!$F$2:$F$26))/(MAX('Distributor Data'!$F$2:$F$26)-MIN('Distributor Data'!$F$2:$F$26))*100,50)</f>
        <v>58.3333333333333</v>
      </c>
      <c r="H32" s="35" t="n">
        <f aca="false">IFERROR(('Distributor Data'!G24-MIN('Distributor Data'!$G$2:$G$26))/(MAX('Distributor Data'!$G$2:$G$26)-MIN('Distributor Data'!$G$2:$G$26))*100,50)</f>
        <v>69.2307692307692</v>
      </c>
      <c r="I32" s="35" t="n">
        <f aca="false">IFERROR(('Distributor Data'!H24-MIN('Distributor Data'!$H$2:$H$26))/(MAX('Distributor Data'!$H$2:$H$26)-MIN('Distributor Data'!$H$2:$H$26))*100,50)</f>
        <v>0</v>
      </c>
      <c r="J32" s="35" t="n">
        <f aca="false">IFERROR(('Distributor Data'!I24-MIN('Distributor Data'!$I$2:$I$26))/(MAX('Distributor Data'!$I$2:$I$26)-MIN('Distributor Data'!$I$2:$I$26))*100,50)</f>
        <v>81.4814814814815</v>
      </c>
      <c r="K32" s="35" t="n">
        <f aca="false">IFERROR(('Distributor Data'!J24-MIN('Distributor Data'!$J$2:$J$26))/(MAX('Distributor Data'!$J$2:$J$26)-MIN('Distributor Data'!$J$2:$J$26))*100,50)</f>
        <v>0</v>
      </c>
      <c r="L32" s="35" t="n">
        <f aca="false">IFERROR(('Distributor Data'!K24-MIN('Distributor Data'!$K$2:$K$26))/(MAX('Distributor Data'!$K$2:$K$26)-MIN('Distributor Data'!$K$2:$K$26))*100,50)</f>
        <v>58.3333333333333</v>
      </c>
      <c r="M32" s="36" t="str">
        <f aca="false">IF(AND('Distributor Data'!E24&gt;='Strategy Config'!$B$19,'Distributor Data'!F24&gt;='Strategy Config'!$B$20,'Distributor Data'!I24&gt;='Strategy Config'!$B$21),"PASS","FAIL")</f>
        <v>FAIL</v>
      </c>
    </row>
    <row r="33" customFormat="false" ht="15" hidden="false" customHeight="false" outlineLevel="0" collapsed="false">
      <c r="A33" s="37" t="str">
        <f aca="false">IF(M33="PASS",COUNTIFS($M$10:$M$34,"PASS",$E$10:$E$34,"&gt;"&amp;E33)+1,"-")</f>
        <v>-</v>
      </c>
      <c r="B33" s="38" t="str">
        <f aca="false">'Distributor Data'!B25</f>
        <v>Guwahati Mobility</v>
      </c>
      <c r="C33" s="39" t="str">
        <f aca="false">'Distributor Data'!C25</f>
        <v>Guwahati</v>
      </c>
      <c r="D33" s="39" t="str">
        <f aca="false">'Distributor Data'!D25</f>
        <v>Assam</v>
      </c>
      <c r="E33" s="40" t="n">
        <f aca="false">IFERROR(F33*'Strategy Config'!$F$8/100+G33*'Strategy Config'!$F$9/100+H33*'Strategy Config'!$F$10/100+I33*'Strategy Config'!$F$11/100+J33*'Strategy Config'!$F$12/100+K33*'Strategy Config'!$F$13/100+L33*'Strategy Config'!$F$14/100,0)</f>
        <v>12.0726495726496</v>
      </c>
      <c r="F33" s="41" t="n">
        <f aca="false">IFERROR(('Distributor Data'!E25-MIN('Distributor Data'!$E$2:$E$26))/(MAX('Distributor Data'!$E$2:$E$26)-MIN('Distributor Data'!$E$2:$E$26))*100,50)</f>
        <v>0</v>
      </c>
      <c r="G33" s="41" t="n">
        <f aca="false">IFERROR(('Distributor Data'!F25-MIN('Distributor Data'!$F$2:$F$26))/(MAX('Distributor Data'!$F$2:$F$26)-MIN('Distributor Data'!$F$2:$F$26))*100,50)</f>
        <v>16.6666666666667</v>
      </c>
      <c r="H33" s="41" t="n">
        <f aca="false">IFERROR(('Distributor Data'!G25-MIN('Distributor Data'!$G$2:$G$26))/(MAX('Distributor Data'!$G$2:$G$26)-MIN('Distributor Data'!$G$2:$G$26))*100,50)</f>
        <v>23.0769230769231</v>
      </c>
      <c r="I33" s="41" t="n">
        <f aca="false">IFERROR(('Distributor Data'!H25-MIN('Distributor Data'!$H$2:$H$26))/(MAX('Distributor Data'!$H$2:$H$26)-MIN('Distributor Data'!$H$2:$H$26))*100,50)</f>
        <v>11.1111111111111</v>
      </c>
      <c r="J33" s="41" t="n">
        <f aca="false">IFERROR(('Distributor Data'!I25-MIN('Distributor Data'!$I$2:$I$26))/(MAX('Distributor Data'!$I$2:$I$26)-MIN('Distributor Data'!$I$2:$I$26))*100,50)</f>
        <v>18.5185185185185</v>
      </c>
      <c r="K33" s="41" t="n">
        <f aca="false">IFERROR(('Distributor Data'!J25-MIN('Distributor Data'!$J$2:$J$26))/(MAX('Distributor Data'!$J$2:$J$26)-MIN('Distributor Data'!$J$2:$J$26))*100,50)</f>
        <v>0</v>
      </c>
      <c r="L33" s="41" t="n">
        <f aca="false">IFERROR(('Distributor Data'!K25-MIN('Distributor Data'!$K$2:$K$26))/(MAX('Distributor Data'!$K$2:$K$26)-MIN('Distributor Data'!$K$2:$K$26))*100,50)</f>
        <v>16.6666666666667</v>
      </c>
      <c r="M33" s="42" t="str">
        <f aca="false">IF(AND('Distributor Data'!E25&gt;='Strategy Config'!$B$19,'Distributor Data'!F25&gt;='Strategy Config'!$B$20,'Distributor Data'!I25&gt;='Strategy Config'!$B$21),"PASS","FAIL")</f>
        <v>FAIL</v>
      </c>
    </row>
    <row r="34" customFormat="false" ht="15" hidden="false" customHeight="false" outlineLevel="0" collapsed="false">
      <c r="A34" s="31" t="n">
        <f aca="false">IF(M34="PASS",COUNTIFS($M$10:$M$34,"PASS",$E$10:$E$34,"&gt;"&amp;E34)+1,"-")</f>
        <v>11</v>
      </c>
      <c r="B34" s="32" t="str">
        <f aca="false">'Distributor Data'!B26</f>
        <v>Thiruvananthapuram Auto</v>
      </c>
      <c r="C34" s="33" t="str">
        <f aca="false">'Distributor Data'!C26</f>
        <v>Thiruvananthapuram</v>
      </c>
      <c r="D34" s="33" t="str">
        <f aca="false">'Distributor Data'!D26</f>
        <v>Kerala</v>
      </c>
      <c r="E34" s="34" t="n">
        <f aca="false">IFERROR(F34*'Strategy Config'!$F$8/100+G34*'Strategy Config'!$F$9/100+H34*'Strategy Config'!$F$10/100+I34*'Strategy Config'!$F$11/100+J34*'Strategy Config'!$F$12/100+K34*'Strategy Config'!$F$13/100+L34*'Strategy Config'!$F$14/100,0)</f>
        <v>48.5577852099591</v>
      </c>
      <c r="F34" s="35" t="n">
        <f aca="false">IFERROR(('Distributor Data'!E26-MIN('Distributor Data'!$E$2:$E$26))/(MAX('Distributor Data'!$E$2:$E$26)-MIN('Distributor Data'!$E$2:$E$26))*100,50)</f>
        <v>20.8695652173913</v>
      </c>
      <c r="G34" s="35" t="n">
        <f aca="false">IFERROR(('Distributor Data'!F26-MIN('Distributor Data'!$F$2:$F$26))/(MAX('Distributor Data'!$F$2:$F$26)-MIN('Distributor Data'!$F$2:$F$26))*100,50)</f>
        <v>66.6666666666667</v>
      </c>
      <c r="H34" s="35" t="n">
        <f aca="false">IFERROR(('Distributor Data'!G26-MIN('Distributor Data'!$G$2:$G$26))/(MAX('Distributor Data'!$G$2:$G$26)-MIN('Distributor Data'!$G$2:$G$26))*100,50)</f>
        <v>76.9230769230769</v>
      </c>
      <c r="I34" s="35" t="n">
        <f aca="false">IFERROR(('Distributor Data'!H26-MIN('Distributor Data'!$H$2:$H$26))/(MAX('Distributor Data'!$H$2:$H$26)-MIN('Distributor Data'!$H$2:$H$26))*100,50)</f>
        <v>22.2222222222222</v>
      </c>
      <c r="J34" s="35" t="n">
        <f aca="false">IFERROR(('Distributor Data'!I26-MIN('Distributor Data'!$I$2:$I$26))/(MAX('Distributor Data'!$I$2:$I$26)-MIN('Distributor Data'!$I$2:$I$26))*100,50)</f>
        <v>75.9259259259259</v>
      </c>
      <c r="K34" s="35" t="n">
        <f aca="false">IFERROR(('Distributor Data'!J26-MIN('Distributor Data'!$J$2:$J$26))/(MAX('Distributor Data'!$J$2:$J$26)-MIN('Distributor Data'!$J$2:$J$26))*100,50)</f>
        <v>16.6666666666667</v>
      </c>
      <c r="L34" s="35" t="n">
        <f aca="false">IFERROR(('Distributor Data'!K26-MIN('Distributor Data'!$K$2:$K$26))/(MAX('Distributor Data'!$K$2:$K$26)-MIN('Distributor Data'!$K$2:$K$26))*100,50)</f>
        <v>66.6666666666667</v>
      </c>
      <c r="M34" s="36" t="str">
        <f aca="false">IF(AND('Distributor Data'!E26&gt;='Strategy Config'!$B$19,'Distributor Data'!F26&gt;='Strategy Config'!$B$20,'Distributor Data'!I26&gt;='Strategy Config'!$B$21),"PASS","FAIL")</f>
        <v>PASS</v>
      </c>
    </row>
    <row r="36" customFormat="false" ht="19.5" hidden="false" customHeight="true" outlineLevel="0" collapsed="false">
      <c r="A36" s="14" t="s">
        <v>121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customFormat="false" ht="21.75" hidden="false" customHeight="true" outlineLevel="0" collapsed="false">
      <c r="A37" s="43" t="s">
        <v>122</v>
      </c>
      <c r="B37" s="43" t="s">
        <v>1</v>
      </c>
      <c r="C37" s="43" t="s">
        <v>123</v>
      </c>
    </row>
    <row r="38" customFormat="false" ht="18" hidden="false" customHeight="true" outlineLevel="0" collapsed="false">
      <c r="A38" s="31" t="n">
        <v>1</v>
      </c>
      <c r="B38" s="3" t="str">
        <f aca="false">IFERROR(INDEX($B$10:$B$34,MATCH(1,$A$10:$A$34,0)),"—")</f>
        <v>Green Mobility Hub</v>
      </c>
      <c r="C38" s="34" t="n">
        <f aca="false">IFERROR(INDEX($E$10:$E$34,MATCH(1,$A$10:$A$34,0)),0)</f>
        <v>69.5461724266072</v>
      </c>
    </row>
    <row r="39" customFormat="false" ht="18" hidden="false" customHeight="true" outlineLevel="0" collapsed="false">
      <c r="A39" s="37" t="n">
        <v>2</v>
      </c>
      <c r="B39" s="44" t="str">
        <f aca="false">IFERROR(INDEX($B$10:$B$34,MATCH(2,$A$10:$A$34,0)),"—")</f>
        <v>TechDrive Motors</v>
      </c>
      <c r="C39" s="40" t="n">
        <f aca="false">IFERROR(INDEX($E$10:$E$34,MATCH(2,$A$10:$A$34,0)),0)</f>
        <v>69.3803418803419</v>
      </c>
    </row>
    <row r="40" customFormat="false" ht="18" hidden="false" customHeight="true" outlineLevel="0" collapsed="false">
      <c r="A40" s="31" t="n">
        <v>3</v>
      </c>
      <c r="B40" s="3" t="str">
        <f aca="false">IFERROR(INDEX($B$10:$B$34,MATCH(3,$A$10:$A$34,0)),"—")</f>
        <v>AutoEdge Solutions</v>
      </c>
      <c r="C40" s="34" t="n">
        <f aca="false">IFERROR(INDEX($E$10:$E$34,MATCH(3,$A$10:$A$34,0)),0)</f>
        <v>67.7749907097733</v>
      </c>
    </row>
    <row r="41" customFormat="false" ht="18" hidden="false" customHeight="true" outlineLevel="0" collapsed="false">
      <c r="A41" s="37" t="n">
        <v>4</v>
      </c>
      <c r="B41" s="44" t="str">
        <f aca="false">IFERROR(INDEX($B$10:$B$34,MATCH(4,$A$10:$A$34,0)),"—")</f>
        <v>Pioneer EV Hub</v>
      </c>
      <c r="C41" s="40" t="n">
        <f aca="false">IFERROR(INDEX($E$10:$E$34,MATCH(4,$A$10:$A$34,0)),0)</f>
        <v>63.064381270903</v>
      </c>
    </row>
    <row r="42" customFormat="false" ht="18" hidden="false" customHeight="true" outlineLevel="0" collapsed="false">
      <c r="A42" s="31" t="n">
        <v>5</v>
      </c>
      <c r="B42" s="3" t="str">
        <f aca="false">IFERROR(INDEX($B$10:$B$34,MATCH(5,$A$10:$A$34,0)),"—")</f>
        <v>Kochi Green Motors</v>
      </c>
      <c r="C42" s="34" t="n">
        <f aca="false">IFERROR(INDEX($E$10:$E$34,MATCH(5,$A$10:$A$34,0)),0)</f>
        <v>60.554347826087</v>
      </c>
    </row>
    <row r="43" customFormat="false" ht="18" hidden="false" customHeight="true" outlineLevel="0" collapsed="false">
      <c r="A43" s="37" t="n">
        <v>6</v>
      </c>
      <c r="B43" s="44" t="str">
        <f aca="false">IFERROR(INDEX($B$10:$B$34,MATCH(6,$A$10:$A$34,0)),"—")</f>
        <v>EcoWheels India</v>
      </c>
      <c r="C43" s="40" t="n">
        <f aca="false">IFERROR(INDEX($E$10:$E$34,MATCH(6,$A$10:$A$34,0)),0)</f>
        <v>58.8930694908956</v>
      </c>
    </row>
    <row r="44" customFormat="false" ht="18" hidden="false" customHeight="true" outlineLevel="0" collapsed="false">
      <c r="A44" s="31" t="n">
        <v>7</v>
      </c>
      <c r="B44" s="3" t="str">
        <f aca="false">IFERROR(INDEX($B$10:$B$34,MATCH(7,$A$10:$A$34,0)),"—")</f>
        <v>Surat EV Solutions</v>
      </c>
      <c r="C44" s="34" t="n">
        <f aca="false">IFERROR(INDEX($E$10:$E$34,MATCH(7,$A$10:$A$34,0)),0)</f>
        <v>55.7783351913787</v>
      </c>
    </row>
    <row r="45" customFormat="false" ht="18" hidden="false" customHeight="true" outlineLevel="0" collapsed="false">
      <c r="A45" s="37" t="n">
        <v>8</v>
      </c>
      <c r="B45" s="44" t="str">
        <f aca="false">IFERROR(INDEX($B$10:$B$34,MATCH(8,$A$10:$A$34,0)),"—")</f>
        <v>North Star Vehicles</v>
      </c>
      <c r="C45" s="40" t="n">
        <f aca="false">IFERROR(INDEX($E$10:$E$34,MATCH(8,$A$10:$A$34,0)),0)</f>
        <v>55.1082311408399</v>
      </c>
    </row>
    <row r="46" customFormat="false" ht="18" hidden="false" customHeight="true" outlineLevel="0" collapsed="false">
      <c r="A46" s="31" t="n">
        <v>9</v>
      </c>
      <c r="B46" s="3" t="str">
        <f aca="false">IFERROR(INDEX($B$10:$B$34,MATCH(9,$A$10:$A$34,0)),"—")</f>
        <v>Velocity Distributors</v>
      </c>
      <c r="C46" s="34" t="n">
        <f aca="false">IFERROR(INDEX($E$10:$E$34,MATCH(9,$A$10:$A$34,0)),0)</f>
        <v>54.0435711631364</v>
      </c>
    </row>
    <row r="47" customFormat="false" ht="18" hidden="false" customHeight="true" outlineLevel="0" collapsed="false">
      <c r="A47" s="37" t="n">
        <v>10</v>
      </c>
      <c r="B47" s="44" t="str">
        <f aca="false">IFERROR(INDEX($B$10:$B$34,MATCH(10,$A$10:$A$34,0)),"—")</f>
        <v>NextGen Motors</v>
      </c>
      <c r="C47" s="40" t="n">
        <f aca="false">IFERROR(INDEX($E$10:$E$34,MATCH(10,$A$10:$A$34,0)),0)</f>
        <v>51.1036789297659</v>
      </c>
    </row>
  </sheetData>
  <mergeCells count="11">
    <mergeCell ref="A1:M1"/>
    <mergeCell ref="A2:M2"/>
    <mergeCell ref="A4:M4"/>
    <mergeCell ref="A5:D5"/>
    <mergeCell ref="E5:H5"/>
    <mergeCell ref="I5:M5"/>
    <mergeCell ref="A6:D6"/>
    <mergeCell ref="E6:H6"/>
    <mergeCell ref="I6:M6"/>
    <mergeCell ref="A8:M8"/>
    <mergeCell ref="A36:M36"/>
  </mergeCells>
  <conditionalFormatting sqref="E10:E34">
    <cfRule type="colorScale" priority="2">
      <colorScale>
        <cfvo type="min" val="0"/>
        <cfvo type="percentile" val="50"/>
        <cfvo type="max" val="0"/>
        <color rgb="FFFCE4D6"/>
        <color rgb="FFFFEB9C"/>
        <color rgb="FFC6EFCE"/>
      </colorScale>
    </cfRule>
  </conditionalFormatting>
  <conditionalFormatting sqref="F10:F34">
    <cfRule type="dataBar" priority="3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{4D5CCEB7-334A-4447-8928-30B3CD5CC68B}</x14:id>
        </ext>
      </extLst>
    </cfRule>
  </conditionalFormatting>
  <conditionalFormatting sqref="G10:G34">
    <cfRule type="dataBar" priority="4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{6D4E7316-766A-4326-83A6-BA9FCB59BF97}</x14:id>
        </ext>
      </extLst>
    </cfRule>
  </conditionalFormatting>
  <conditionalFormatting sqref="H10:H34">
    <cfRule type="dataBar" priority="5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{3EF9D567-FF69-4471-94B5-9FB8E11CCCCB}</x14:id>
        </ext>
      </extLst>
    </cfRule>
  </conditionalFormatting>
  <conditionalFormatting sqref="I10:I34">
    <cfRule type="dataBar" priority="6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{CA7A1E3C-25CD-4ED0-956C-E87BE01C346C}</x14:id>
        </ext>
      </extLst>
    </cfRule>
  </conditionalFormatting>
  <conditionalFormatting sqref="J10:J34">
    <cfRule type="dataBar" priority="7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{A9AE3697-3A9F-488B-97CA-D2C27CCD9915}</x14:id>
        </ext>
      </extLst>
    </cfRule>
  </conditionalFormatting>
  <conditionalFormatting sqref="K10:K34">
    <cfRule type="dataBar" priority="8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{6F2C895C-5A87-4CAB-84EC-EFC5F4C29327}</x14:id>
        </ext>
      </extLst>
    </cfRule>
  </conditionalFormatting>
  <conditionalFormatting sqref="L10:L34">
    <cfRule type="dataBar" priority="9">
      <dataBar showValue="1" minLength="10" maxLength="90">
        <cfvo type="min" val="0"/>
        <cfvo type="max" val="100"/>
        <color rgb="FF00A99D"/>
      </dataBar>
      <extLst>
        <ext xmlns:x14="http://schemas.microsoft.com/office/spreadsheetml/2009/9/main" uri="{B025F937-C7B1-47D3-B67F-A62EFF666E3E}">
          <x14:id>{C5F06952-BB39-4A56-A7B0-5BF678226077}</x14:id>
        </ext>
      </extLst>
    </cfRule>
  </conditionalFormatting>
  <conditionalFormatting sqref="A10:M34">
    <cfRule type="expression" priority="10" aboveAverage="0" equalAverage="0" bottom="0" percent="0" rank="0" text="" dxfId="2">
      <formula>$M10="PASS"</formula>
    </cfRule>
    <cfRule type="expression" priority="11" aboveAverage="0" equalAverage="0" bottom="0" percent="0" rank="0" text="" dxfId="3">
      <formula>$M10="FAIL"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5CCEB7-334A-4447-8928-30B3CD5CC68B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F10:F34</xm:sqref>
        </x14:conditionalFormatting>
        <x14:conditionalFormatting xmlns:xm="http://schemas.microsoft.com/office/excel/2006/main">
          <x14:cfRule type="dataBar" id="{6D4E7316-766A-4326-83A6-BA9FCB59BF97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G10:G34</xm:sqref>
        </x14:conditionalFormatting>
        <x14:conditionalFormatting xmlns:xm="http://schemas.microsoft.com/office/excel/2006/main">
          <x14:cfRule type="dataBar" id="{3EF9D567-FF69-4471-94B5-9FB8E11CCCCB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H10:H34</xm:sqref>
        </x14:conditionalFormatting>
        <x14:conditionalFormatting xmlns:xm="http://schemas.microsoft.com/office/excel/2006/main">
          <x14:cfRule type="dataBar" id="{CA7A1E3C-25CD-4ED0-956C-E87BE01C346C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I10:I34</xm:sqref>
        </x14:conditionalFormatting>
        <x14:conditionalFormatting xmlns:xm="http://schemas.microsoft.com/office/excel/2006/main">
          <x14:cfRule type="dataBar" id="{A9AE3697-3A9F-488B-97CA-D2C27CCD9915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J10:J34</xm:sqref>
        </x14:conditionalFormatting>
        <x14:conditionalFormatting xmlns:xm="http://schemas.microsoft.com/office/excel/2006/main">
          <x14:cfRule type="dataBar" id="{6F2C895C-5A87-4CAB-84EC-EFC5F4C29327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K10:K34</xm:sqref>
        </x14:conditionalFormatting>
        <x14:conditionalFormatting xmlns:xm="http://schemas.microsoft.com/office/excel/2006/main">
          <x14:cfRule type="dataBar" id="{C5F06952-BB39-4A56-A7B0-5BF678226077}">
            <x14:dataBar minLength="10" maxLength="90" axisPosition="none" gradient="true">
              <x14:cfvo type="min"/>
              <x14:cfvo type="max"/>
              <x14:negativeFillColor rgb="FF00A99D"/>
              <x14:axisColor rgb="FF000000"/>
            </x14:dataBar>
          </x14:cfRule>
          <xm:sqref>L10:L34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2026-04-19T07:05:13Z</dcterms:created>
  <dc:creator>openpyxl</dc:creator>
  <dc:description/>
  <dc:language>en-US</dc:language>
  <cp:lastModifiedBy/>
  <dcterms:modified xsi:type="dcterms:W3CDTF">2026-04-19T12:35:23Z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